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ph\Documents\.aaprojetsdata\Factures\"/>
    </mc:Choice>
  </mc:AlternateContent>
  <xr:revisionPtr revIDLastSave="0" documentId="13_ncr:1_{B4A9A183-4820-4761-8A85-2F7045F2BA23}" xr6:coauthVersionLast="47" xr6:coauthVersionMax="47" xr10:uidLastSave="{00000000-0000-0000-0000-000000000000}"/>
  <bookViews>
    <workbookView xWindow="-120" yWindow="-16320" windowWidth="29040" windowHeight="15720" activeTab="1" xr2:uid="{31E37477-07FB-47AD-AD65-D00C3293AD7A}"/>
  </bookViews>
  <sheets>
    <sheet name="Facture" sheetId="1" r:id="rId1"/>
    <sheet name="FactureD" sheetId="6" r:id="rId2"/>
    <sheet name="Historique des Factures" sheetId="5" r:id="rId3"/>
    <sheet name="Infos Clients" sheetId="2" r:id="rId4"/>
    <sheet name="Articles" sheetId="3" r:id="rId5"/>
  </sheets>
  <definedNames>
    <definedName name="Nom_Entreprise">Facture!#REF!</definedName>
    <definedName name="Plage">Facture!$E$7,Facture!$A$18:$B$36</definedName>
    <definedName name="PlageCode">FactureD!$E$7,FactureD!$A$18:$B$36</definedName>
    <definedName name="Plagee">Table_Items3[[Quantité]:[Code Articles]]</definedName>
    <definedName name="_xlnm.Print_Area" localSheetId="1">FactureD!$A$1:$F$45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6" l="1"/>
  <c r="E8" i="6"/>
  <c r="D19" i="6"/>
  <c r="E19" i="6" s="1"/>
  <c r="D20" i="6"/>
  <c r="E20" i="6" s="1"/>
  <c r="D21" i="6"/>
  <c r="E21" i="6" s="1"/>
  <c r="D22" i="6"/>
  <c r="E22" i="6" s="1"/>
  <c r="D23" i="6"/>
  <c r="E23" i="6" s="1"/>
  <c r="D24" i="6"/>
  <c r="E24" i="6" s="1"/>
  <c r="C19" i="6"/>
  <c r="C20" i="6"/>
  <c r="C21" i="6"/>
  <c r="C22" i="6"/>
  <c r="C23" i="6"/>
  <c r="C24" i="6"/>
  <c r="D18" i="6"/>
  <c r="E18" i="6" s="1"/>
  <c r="D25" i="6"/>
  <c r="E25" i="6" s="1"/>
  <c r="D26" i="6"/>
  <c r="E26" i="6" s="1"/>
  <c r="D27" i="6"/>
  <c r="E27" i="6" s="1"/>
  <c r="D28" i="6"/>
  <c r="E28" i="6" s="1"/>
  <c r="D29" i="6"/>
  <c r="E29" i="6" s="1"/>
  <c r="D30" i="6"/>
  <c r="E30" i="6" s="1"/>
  <c r="D31" i="6"/>
  <c r="E31" i="6" s="1"/>
  <c r="D32" i="6"/>
  <c r="E32" i="6" s="1"/>
  <c r="D33" i="6"/>
  <c r="E33" i="6" s="1"/>
  <c r="D34" i="6"/>
  <c r="E34" i="6" s="1"/>
  <c r="D35" i="6"/>
  <c r="E35" i="6" s="1"/>
  <c r="D36" i="6"/>
  <c r="E36" i="6" s="1"/>
  <c r="D37" i="6"/>
  <c r="E37" i="6" s="1"/>
  <c r="C18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E4" i="6"/>
  <c r="E9" i="6"/>
  <c r="E10" i="6"/>
  <c r="E11" i="6"/>
  <c r="E12" i="6"/>
  <c r="E13" i="6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E4" i="1"/>
  <c r="E9" i="1"/>
  <c r="E10" i="1"/>
  <c r="E11" i="1"/>
  <c r="E12" i="1"/>
  <c r="E13" i="1"/>
  <c r="E8" i="1"/>
  <c r="A14" i="1"/>
  <c r="E39" i="1" l="1"/>
  <c r="E41" i="1" s="1"/>
  <c r="E42" i="1" s="1"/>
  <c r="E39" i="6"/>
  <c r="E41" i="6" s="1"/>
  <c r="E42" i="6" s="1"/>
</calcChain>
</file>

<file path=xl/sharedStrings.xml><?xml version="1.0" encoding="utf-8"?>
<sst xmlns="http://schemas.openxmlformats.org/spreadsheetml/2006/main" count="4067" uniqueCount="2099">
  <si>
    <t xml:space="preserve"> </t>
  </si>
  <si>
    <t>FACTURE</t>
  </si>
  <si>
    <t>NOM DE VOTRE ENTREPRISE</t>
  </si>
  <si>
    <t>FACTURER À</t>
  </si>
  <si>
    <t>Date de facturation </t>
  </si>
  <si>
    <t>N° de facture</t>
  </si>
  <si>
    <t>Échéance</t>
  </si>
  <si>
    <t>Quantité</t>
  </si>
  <si>
    <t>Description</t>
  </si>
  <si>
    <t>Prix unitaire</t>
  </si>
  <si>
    <t>Total de la ligne</t>
  </si>
  <si>
    <t>Sous-total</t>
  </si>
  <si>
    <t>Nous vous remercions de votre confiance.</t>
  </si>
  <si>
    <t>Code</t>
  </si>
  <si>
    <t>Nom du Client</t>
  </si>
  <si>
    <t>TVA</t>
  </si>
  <si>
    <t>Montant TVA</t>
  </si>
  <si>
    <t>TOTAL TTC</t>
  </si>
  <si>
    <t>Code Articles</t>
  </si>
  <si>
    <t>Code Clients</t>
  </si>
  <si>
    <t>Téléphone</t>
  </si>
  <si>
    <t>Ligne Adresse 1</t>
  </si>
  <si>
    <t>Ville</t>
  </si>
  <si>
    <t>Code Postal</t>
  </si>
  <si>
    <t>Pays</t>
  </si>
  <si>
    <t>MYHA5660</t>
  </si>
  <si>
    <t>La Rochelle Gifts</t>
  </si>
  <si>
    <t>40.67.8555</t>
  </si>
  <si>
    <t>67, rue des Cinquante Otages</t>
  </si>
  <si>
    <t>Nantes</t>
  </si>
  <si>
    <t>France</t>
  </si>
  <si>
    <t>JUJA7577</t>
  </si>
  <si>
    <t>FunGiftIdeas.com</t>
  </si>
  <si>
    <t>1785 First Street</t>
  </si>
  <si>
    <t>New Bedford</t>
  </si>
  <si>
    <t>USA</t>
  </si>
  <si>
    <t>STWA6754</t>
  </si>
  <si>
    <t>UK Collectables, Ltd.</t>
  </si>
  <si>
    <t>(171) 555-2282</t>
  </si>
  <si>
    <t>Berkeley Gardens 12  Brewery</t>
  </si>
  <si>
    <t>Liverpool</t>
  </si>
  <si>
    <t>WX1 6LT</t>
  </si>
  <si>
    <t>UK</t>
  </si>
  <si>
    <t>MOXA8674</t>
  </si>
  <si>
    <t>Euro Shopping Channel</t>
  </si>
  <si>
    <t>(91) 555 94 44</t>
  </si>
  <si>
    <t>C/ Moralzarzal, 86</t>
  </si>
  <si>
    <t>Madrid</t>
  </si>
  <si>
    <t>Spain</t>
  </si>
  <si>
    <t>OKHA7400</t>
  </si>
  <si>
    <t>Collectables For Less Inc.</t>
  </si>
  <si>
    <t>7825 Douglas Av.</t>
  </si>
  <si>
    <t>Brickhaven</t>
  </si>
  <si>
    <t>HXFA5611</t>
  </si>
  <si>
    <t>Anna's Decorations, Ltd</t>
  </si>
  <si>
    <t>201 Miller Street</t>
  </si>
  <si>
    <t>North Sydney</t>
  </si>
  <si>
    <t>Australia</t>
  </si>
  <si>
    <t>AMLL5574</t>
  </si>
  <si>
    <t>Quebec Home Shopping Network</t>
  </si>
  <si>
    <t>(514) 555-8054</t>
  </si>
  <si>
    <t>43 rue St. Laurent</t>
  </si>
  <si>
    <t>Montreal</t>
  </si>
  <si>
    <t>H1J 1C3</t>
  </si>
  <si>
    <t>Canada</t>
  </si>
  <si>
    <t>VYKA6766</t>
  </si>
  <si>
    <t>Australian Gift Network, Co</t>
  </si>
  <si>
    <t>61-7-3844-6555</t>
  </si>
  <si>
    <t>31 Duncan St. West End</t>
  </si>
  <si>
    <t>South Brisbane</t>
  </si>
  <si>
    <t>JTNA6125</t>
  </si>
  <si>
    <t>Auto Canal Petit</t>
  </si>
  <si>
    <t>(1) 47.55.6555</t>
  </si>
  <si>
    <t>25, rue Lauriston</t>
  </si>
  <si>
    <t>Paris</t>
  </si>
  <si>
    <t>MWCA6264</t>
  </si>
  <si>
    <t>Technics Stores Inc.</t>
  </si>
  <si>
    <t>9408 Furth Circle</t>
  </si>
  <si>
    <t>Burlingame</t>
  </si>
  <si>
    <t>MJXA6545</t>
  </si>
  <si>
    <t>Oulu Toy Supplies, Inc.</t>
  </si>
  <si>
    <t>981-443655</t>
  </si>
  <si>
    <t>Torikatu 38</t>
  </si>
  <si>
    <t>Oulu</t>
  </si>
  <si>
    <t>Finland</t>
  </si>
  <si>
    <t>SLJB6306</t>
  </si>
  <si>
    <t>Lyon Souveniers</t>
  </si>
  <si>
    <t>+33 1 46 62 7555</t>
  </si>
  <si>
    <t>27 rue du Colonel Pierre Avia</t>
  </si>
  <si>
    <t>PBXB6056</t>
  </si>
  <si>
    <t>The Sharp Gifts Warehouse</t>
  </si>
  <si>
    <t>3086 Ingle Ln.</t>
  </si>
  <si>
    <t>San Jose</t>
  </si>
  <si>
    <t>JQAB5530</t>
  </si>
  <si>
    <t>Gifts4AllAges.com</t>
  </si>
  <si>
    <t>8616 Spinnaker Dr.</t>
  </si>
  <si>
    <t>Boston</t>
  </si>
  <si>
    <t>MCEB7242</t>
  </si>
  <si>
    <t>Suominen Souveniers</t>
  </si>
  <si>
    <t>+358 9 8045 555</t>
  </si>
  <si>
    <t>Software Engineering Center, SEC Oy</t>
  </si>
  <si>
    <t>Espoo</t>
  </si>
  <si>
    <t>FIN-02271</t>
  </si>
  <si>
    <t>SLFB8536</t>
  </si>
  <si>
    <t>Scandinavian Gift Ideas</t>
  </si>
  <si>
    <t>0695-34 6555</t>
  </si>
  <si>
    <t>?kergatan 24</t>
  </si>
  <si>
    <t>Boras</t>
  </si>
  <si>
    <t>S-844 67</t>
  </si>
  <si>
    <t>Sweden</t>
  </si>
  <si>
    <t>TBJB6446</t>
  </si>
  <si>
    <t>Salzburg Collectables</t>
  </si>
  <si>
    <t>6562-9555</t>
  </si>
  <si>
    <t>Geislweg 14</t>
  </si>
  <si>
    <t>Salzburg</t>
  </si>
  <si>
    <t>Austria</t>
  </si>
  <si>
    <t>ANTB6715</t>
  </si>
  <si>
    <t>Mini Gifts Distributors Ltd.</t>
  </si>
  <si>
    <t>5677 Strong St.</t>
  </si>
  <si>
    <t>San Rafael</t>
  </si>
  <si>
    <t>MIVB7134</t>
  </si>
  <si>
    <t>Gift Depot Inc.</t>
  </si>
  <si>
    <t>25593 South Bay Ln.</t>
  </si>
  <si>
    <t>Bridgewater</t>
  </si>
  <si>
    <t>GLFB8131</t>
  </si>
  <si>
    <t>Tokyo Collectables, Ltd</t>
  </si>
  <si>
    <t>+81 3 3584 0555</t>
  </si>
  <si>
    <t>2-2-8 Roppongi</t>
  </si>
  <si>
    <t>Minato-ku</t>
  </si>
  <si>
    <t>106-0032</t>
  </si>
  <si>
    <t>Japan</t>
  </si>
  <si>
    <t>ISKB7122</t>
  </si>
  <si>
    <t>Boards &amp; Toys Co.</t>
  </si>
  <si>
    <t>4097 Douglas Av.</t>
  </si>
  <si>
    <t>Glendale</t>
  </si>
  <si>
    <t>JQDB8360</t>
  </si>
  <si>
    <t>Toys of Finland, Co.</t>
  </si>
  <si>
    <t>90-224 8555</t>
  </si>
  <si>
    <t>Keskuskatu 45</t>
  </si>
  <si>
    <t>Helsinki</t>
  </si>
  <si>
    <t>MRTB6165</t>
  </si>
  <si>
    <t>Mini Caravy</t>
  </si>
  <si>
    <t>88.60.1555</t>
  </si>
  <si>
    <t>24, place Kluber</t>
  </si>
  <si>
    <t>Strasbourg</t>
  </si>
  <si>
    <t>JFIB7352</t>
  </si>
  <si>
    <t>Mini Creations Ltd.</t>
  </si>
  <si>
    <t>4575 Hillside Dr.</t>
  </si>
  <si>
    <t>PQWB6377</t>
  </si>
  <si>
    <t>Danish Wholesale Imports</t>
  </si>
  <si>
    <t>31 12 3555</t>
  </si>
  <si>
    <t>Vinb'ltet 34</t>
  </si>
  <si>
    <t>Kobenhavn</t>
  </si>
  <si>
    <t>Denmark</t>
  </si>
  <si>
    <t>ERUB5334</t>
  </si>
  <si>
    <t>Diecast Classics Inc.</t>
  </si>
  <si>
    <t>7586 Pompton St.</t>
  </si>
  <si>
    <t>Allentown</t>
  </si>
  <si>
    <t>NYSB7206</t>
  </si>
  <si>
    <t>Toys4GrownUps.com</t>
  </si>
  <si>
    <t>78934 Hillside Dr.</t>
  </si>
  <si>
    <t>Pasadena</t>
  </si>
  <si>
    <t>CESB5072</t>
  </si>
  <si>
    <t>Reims Collectables</t>
  </si>
  <si>
    <t>26.47.1555</t>
  </si>
  <si>
    <t>59 rue de l'Abbaye</t>
  </si>
  <si>
    <t>Reims</t>
  </si>
  <si>
    <t>RYGB6744</t>
  </si>
  <si>
    <t>L'ordine Souveniers</t>
  </si>
  <si>
    <t>0522-556555</t>
  </si>
  <si>
    <t>Strada Provinciale 124</t>
  </si>
  <si>
    <t>Reggio Emilia</t>
  </si>
  <si>
    <t>Italy</t>
  </si>
  <si>
    <t>MROB4443</t>
  </si>
  <si>
    <t>Souveniers And Things Co.</t>
  </si>
  <si>
    <t>+61 2 9495 8555</t>
  </si>
  <si>
    <t>Monitor Money Building, 815 Pacific Hwy</t>
  </si>
  <si>
    <t>Chatswood</t>
  </si>
  <si>
    <t>EUUB6671</t>
  </si>
  <si>
    <t>Royale Belge</t>
  </si>
  <si>
    <t>(071) 23 67 2555</t>
  </si>
  <si>
    <t>Boulevard Tirou, 255</t>
  </si>
  <si>
    <t>Charleroi</t>
  </si>
  <si>
    <t>B-6000</t>
  </si>
  <si>
    <t>Belgium</t>
  </si>
  <si>
    <t>OTHB8402</t>
  </si>
  <si>
    <t>Handji Gifts&amp; Co</t>
  </si>
  <si>
    <t>Village Close - 106 Linden Road Sandown</t>
  </si>
  <si>
    <t>Singapore</t>
  </si>
  <si>
    <t>GSCB5064</t>
  </si>
  <si>
    <t>Tekni Collectables Inc.</t>
  </si>
  <si>
    <t>7476 Moss Rd.</t>
  </si>
  <si>
    <t>Newark</t>
  </si>
  <si>
    <t>GYPB5625</t>
  </si>
  <si>
    <t>Petit Auto</t>
  </si>
  <si>
    <t>(02) 5554 67</t>
  </si>
  <si>
    <t>Rue Joseph-Bens 532</t>
  </si>
  <si>
    <t>Bruxelles</t>
  </si>
  <si>
    <t>B-1180</t>
  </si>
  <si>
    <t>RXXB7135</t>
  </si>
  <si>
    <t>Mini Auto Werke</t>
  </si>
  <si>
    <t>7675-3555</t>
  </si>
  <si>
    <t>Kirchgasse 6</t>
  </si>
  <si>
    <t>Graz</t>
  </si>
  <si>
    <t>CKCB8576</t>
  </si>
  <si>
    <t>Australian Collectables, Ltd</t>
  </si>
  <si>
    <t>61-9-3844-6555</t>
  </si>
  <si>
    <t>7 Allen Street</t>
  </si>
  <si>
    <t>Glen Waverly</t>
  </si>
  <si>
    <t>AJDB8746</t>
  </si>
  <si>
    <t>Dragon Souveniers, Ltd.</t>
  </si>
  <si>
    <t>Bronz Sok., Bronz Apt. 3/6 Tesvikiye</t>
  </si>
  <si>
    <t>MISB6160</t>
  </si>
  <si>
    <t>Marseille Mini Autos</t>
  </si>
  <si>
    <t>91.24.4555</t>
  </si>
  <si>
    <t>12, rue des Bouchers</t>
  </si>
  <si>
    <t>Marseille</t>
  </si>
  <si>
    <t>OKVB8647</t>
  </si>
  <si>
    <t>Alpha Cognac</t>
  </si>
  <si>
    <t>61.77.6555</t>
  </si>
  <si>
    <t>1 rue Alsace-Lorraine</t>
  </si>
  <si>
    <t>Toulouse</t>
  </si>
  <si>
    <t>PMFB7433</t>
  </si>
  <si>
    <t>Land of Toys Inc.</t>
  </si>
  <si>
    <t>JANB6264</t>
  </si>
  <si>
    <t>Daedalus Designs Imports</t>
  </si>
  <si>
    <t>1786 First Street</t>
  </si>
  <si>
    <t>FJOB6070</t>
  </si>
  <si>
    <t>Herkku Gifts</t>
  </si>
  <si>
    <t>GDMB5034</t>
  </si>
  <si>
    <t>Baane Mini Imports</t>
  </si>
  <si>
    <t>C/ Moralzarzal, 87</t>
  </si>
  <si>
    <t>GTAB6410</t>
  </si>
  <si>
    <t>Volvo Model Replicas, Co</t>
  </si>
  <si>
    <t>7826 Douglas Av.</t>
  </si>
  <si>
    <t>CGIB8632</t>
  </si>
  <si>
    <t>Corrida Auto Replicas, Ltd</t>
  </si>
  <si>
    <t>202 Miller Street</t>
  </si>
  <si>
    <t>GBCB6754</t>
  </si>
  <si>
    <t>Classic Legends Inc.</t>
  </si>
  <si>
    <t>44 rue St. Laurent</t>
  </si>
  <si>
    <t>H1J 1C4</t>
  </si>
  <si>
    <t>MPNB8133</t>
  </si>
  <si>
    <t>Classic Gift Ideas, Inc</t>
  </si>
  <si>
    <t>32 Duncan St. West End</t>
  </si>
  <si>
    <t>MCAB7007</t>
  </si>
  <si>
    <t>Saveley &amp; Henriot, Co.</t>
  </si>
  <si>
    <t>MRVC6701</t>
  </si>
  <si>
    <t>Canadian Gift Exchange Network</t>
  </si>
  <si>
    <t>9409 Furth Circle</t>
  </si>
  <si>
    <t>CRSC7607</t>
  </si>
  <si>
    <t>Australian Collectors, Co.</t>
  </si>
  <si>
    <t>Torikatu 39</t>
  </si>
  <si>
    <t>CPQC8256</t>
  </si>
  <si>
    <t>Stylish Desk Decors, Co.</t>
  </si>
  <si>
    <t>28 rue du Colonel Pierre Avia</t>
  </si>
  <si>
    <t>VLQC5335</t>
  </si>
  <si>
    <t>Double Decker Gift Stores, Ltd</t>
  </si>
  <si>
    <t>3087 Ingle Ln.</t>
  </si>
  <si>
    <t>JMSC6372</t>
  </si>
  <si>
    <t>Enaco Distributors</t>
  </si>
  <si>
    <t>8617 Spinnaker Dr.</t>
  </si>
  <si>
    <t>PMKC7404</t>
  </si>
  <si>
    <t>La Corne D'abondance, Co.</t>
  </si>
  <si>
    <t>FIN-02272</t>
  </si>
  <si>
    <t>CSPC8224</t>
  </si>
  <si>
    <t>Diecast Collectables</t>
  </si>
  <si>
    <t>?kergatan 25</t>
  </si>
  <si>
    <t>S-844 68</t>
  </si>
  <si>
    <t>LIJC8646</t>
  </si>
  <si>
    <t>Cruz &amp; Sons Co.</t>
  </si>
  <si>
    <t>Geislweg 15</t>
  </si>
  <si>
    <t>TIVC7641</t>
  </si>
  <si>
    <t>Toms Spezialitten, Ltd</t>
  </si>
  <si>
    <t>5678 Strong St.</t>
  </si>
  <si>
    <t>JTDC5252</t>
  </si>
  <si>
    <t>Blauer See Auto, Co.</t>
  </si>
  <si>
    <t>25594 South Bay Ln.</t>
  </si>
  <si>
    <t>NGEC6534</t>
  </si>
  <si>
    <t>Muscle Machine Inc</t>
  </si>
  <si>
    <t>106-0033</t>
  </si>
  <si>
    <t>VVJC6063</t>
  </si>
  <si>
    <t>Super Scale Inc.</t>
  </si>
  <si>
    <t>4098 Douglas Av.</t>
  </si>
  <si>
    <t xml:space="preserve">LKBC8730 </t>
  </si>
  <si>
    <t>Iberia Gift Imports, Corp.</t>
  </si>
  <si>
    <t>Keskuskatu 46</t>
  </si>
  <si>
    <t>CQCC6720</t>
  </si>
  <si>
    <t>Mini Classics</t>
  </si>
  <si>
    <t>GADC8337</t>
  </si>
  <si>
    <t>Online Diecast Creations Co.</t>
  </si>
  <si>
    <t>4576 Hillside Dr.</t>
  </si>
  <si>
    <t>CXGC7710</t>
  </si>
  <si>
    <t>Motor Mint Distributors Inc.</t>
  </si>
  <si>
    <t>Vinb'ltet 35</t>
  </si>
  <si>
    <t>MOMC7014</t>
  </si>
  <si>
    <t>Heintze Collectables</t>
  </si>
  <si>
    <t>7587 Pompton St.</t>
  </si>
  <si>
    <t>PTLC8562</t>
  </si>
  <si>
    <t>Norway Gifts By Mail, Co.</t>
  </si>
  <si>
    <t>MYSC6155</t>
  </si>
  <si>
    <t>Vitachrome Inc.</t>
  </si>
  <si>
    <t>60 rue de l'Abbaye</t>
  </si>
  <si>
    <t>DYGC7021</t>
  </si>
  <si>
    <t>Signal Collectibles Ltd.</t>
  </si>
  <si>
    <t>Strada Provinciale 125</t>
  </si>
  <si>
    <t>MVOC5020</t>
  </si>
  <si>
    <t>Rovelli Gifts</t>
  </si>
  <si>
    <t>NRAC8563</t>
  </si>
  <si>
    <t>AV Stores, Co.</t>
  </si>
  <si>
    <t>Boulevard Tirou, 256</t>
  </si>
  <si>
    <t>B-6001</t>
  </si>
  <si>
    <t>MVNC7632</t>
  </si>
  <si>
    <t>Atelier graphique</t>
  </si>
  <si>
    <t>CYVC6773</t>
  </si>
  <si>
    <t>Gift Ideas Corp.</t>
  </si>
  <si>
    <t>7477 Moss Rd.</t>
  </si>
  <si>
    <t>RJTD6541</t>
  </si>
  <si>
    <t>Signal Gift Stores</t>
  </si>
  <si>
    <t>Rue Joseph-Bens 533</t>
  </si>
  <si>
    <t>B-1181</t>
  </si>
  <si>
    <t>MVOD7617</t>
  </si>
  <si>
    <t>Auto-Moto Classics Inc.</t>
  </si>
  <si>
    <t>Kirchgasse 7</t>
  </si>
  <si>
    <t>VDJD8315</t>
  </si>
  <si>
    <t>CAF Imports</t>
  </si>
  <si>
    <t>8 Allen Street</t>
  </si>
  <si>
    <t>EQDD5640</t>
  </si>
  <si>
    <t>West Coast Collectables Co.</t>
  </si>
  <si>
    <t>NQRD6661</t>
  </si>
  <si>
    <t>Marta's Replicas Co.</t>
  </si>
  <si>
    <t>JHLD7172</t>
  </si>
  <si>
    <t>Cambridge Collectables Co.</t>
  </si>
  <si>
    <t>2 rue Alsace-Lorraine</t>
  </si>
  <si>
    <t>PAUL6237</t>
  </si>
  <si>
    <t>Amica Models &amp; Co.</t>
  </si>
  <si>
    <t>CAND6545</t>
  </si>
  <si>
    <t>Auto Assoc. &amp; Cie.</t>
  </si>
  <si>
    <t>1787 First Street</t>
  </si>
  <si>
    <t>IXID6657</t>
  </si>
  <si>
    <t>Osaka Souveniers Co.</t>
  </si>
  <si>
    <t>MLQD7466</t>
  </si>
  <si>
    <t>Collectable Mini Designs Co.</t>
  </si>
  <si>
    <t>C/ Moralzarzal, 88</t>
  </si>
  <si>
    <t>RJND6600</t>
  </si>
  <si>
    <t>Royal Canadian Collectables, Ltd.</t>
  </si>
  <si>
    <t>7827 Douglas Av.</t>
  </si>
  <si>
    <t>YKKD5702</t>
  </si>
  <si>
    <t>giftsbymail.co.uk</t>
  </si>
  <si>
    <t>203 Miller Street</t>
  </si>
  <si>
    <t>NXCD6257</t>
  </si>
  <si>
    <t>Vida Sport, Ltd</t>
  </si>
  <si>
    <t>45 rue St. Laurent</t>
  </si>
  <si>
    <t>H1J 1C5</t>
  </si>
  <si>
    <t>LIVD8556</t>
  </si>
  <si>
    <t>Online Mini Collectables</t>
  </si>
  <si>
    <t>33 Duncan St. West End</t>
  </si>
  <si>
    <t>JMSD4700</t>
  </si>
  <si>
    <t>Clover Collections, Co.</t>
  </si>
  <si>
    <t>JMSP8176</t>
  </si>
  <si>
    <t>Microscale Inc.</t>
  </si>
  <si>
    <t>9410 Furth Circle</t>
  </si>
  <si>
    <t>SXND8105</t>
  </si>
  <si>
    <t>Bavarian Collectables Imports, Co.</t>
  </si>
  <si>
    <t>Torikatu 40</t>
  </si>
  <si>
    <t>MYHA5661</t>
  </si>
  <si>
    <t>40.67.8556</t>
  </si>
  <si>
    <t>JUJA7578</t>
  </si>
  <si>
    <t>STWA6755</t>
  </si>
  <si>
    <t>Trusted Catalog Store</t>
  </si>
  <si>
    <t>(171) 555-2283</t>
  </si>
  <si>
    <t>MOXA8675</t>
  </si>
  <si>
    <t>Sports Sales and Rental</t>
  </si>
  <si>
    <t>(91) 555 94 45</t>
  </si>
  <si>
    <t>OKHA7401</t>
  </si>
  <si>
    <t>Requisite Part Supply</t>
  </si>
  <si>
    <t>HXFA5612</t>
  </si>
  <si>
    <t>Red Bicycle Company</t>
  </si>
  <si>
    <t>AMLL5575</t>
  </si>
  <si>
    <t>Latest Sports Equipment</t>
  </si>
  <si>
    <t>(514) 555-8055</t>
  </si>
  <si>
    <t>VYKA6767</t>
  </si>
  <si>
    <t>Weekend Tours</t>
  </si>
  <si>
    <t>61-7-3844-6556</t>
  </si>
  <si>
    <t>JTNA6126</t>
  </si>
  <si>
    <t>Fitness Toy Store</t>
  </si>
  <si>
    <t>(1) 47.55.6556</t>
  </si>
  <si>
    <t>MWCA6265</t>
  </si>
  <si>
    <t>Basic Bike Company</t>
  </si>
  <si>
    <t>MJXA6546</t>
  </si>
  <si>
    <t>Separate Parts Corporation</t>
  </si>
  <si>
    <t>981-443656</t>
  </si>
  <si>
    <t>SLJB6307</t>
  </si>
  <si>
    <t>Bike Dealers Association</t>
  </si>
  <si>
    <t>+33 1 46 62 7556</t>
  </si>
  <si>
    <t>PBXB6057</t>
  </si>
  <si>
    <t>Health Spa, Limited</t>
  </si>
  <si>
    <t>JQAB5531</t>
  </si>
  <si>
    <t>Curbside Universe</t>
  </si>
  <si>
    <t>MCEB7243</t>
  </si>
  <si>
    <t>Grease and Oil Products Company</t>
  </si>
  <si>
    <t>+358 9 8045 556</t>
  </si>
  <si>
    <t>SLFB8537</t>
  </si>
  <si>
    <t>Juvenile Sports Equipment</t>
  </si>
  <si>
    <t>0695-34 6556</t>
  </si>
  <si>
    <t>TBJB6447</t>
  </si>
  <si>
    <t>Fifth Bike Store</t>
  </si>
  <si>
    <t>6562-9556</t>
  </si>
  <si>
    <t>ANTB6716</t>
  </si>
  <si>
    <t>Vehicle Shop</t>
  </si>
  <si>
    <t>MIVB7135</t>
  </si>
  <si>
    <t>Capable Sales and Service</t>
  </si>
  <si>
    <t>GLFB8132</t>
  </si>
  <si>
    <t>Bike Rims Company</t>
  </si>
  <si>
    <t>+81 3 3584 0556</t>
  </si>
  <si>
    <t>ISKB7123</t>
  </si>
  <si>
    <t>Small Cycle Store</t>
  </si>
  <si>
    <t>JQDB8361</t>
  </si>
  <si>
    <t>Original Bicycle Supply Company</t>
  </si>
  <si>
    <t>90-224 8556</t>
  </si>
  <si>
    <t>MRTB6166</t>
  </si>
  <si>
    <t>Riding Excursions</t>
  </si>
  <si>
    <t>88.60.1556</t>
  </si>
  <si>
    <t>JFIB7353</t>
  </si>
  <si>
    <t>Simple Bike Parts</t>
  </si>
  <si>
    <t>PQWB6378</t>
  </si>
  <si>
    <t>General Bike Corporation</t>
  </si>
  <si>
    <t>32 12 3555</t>
  </si>
  <si>
    <t>ERUB5335</t>
  </si>
  <si>
    <t>Clamps &amp; Brackets Co.</t>
  </si>
  <si>
    <t>NYSB7207</t>
  </si>
  <si>
    <t>Convenient Bike Shop</t>
  </si>
  <si>
    <t>CESB5073</t>
  </si>
  <si>
    <t>Area Bike Accessories</t>
  </si>
  <si>
    <t>26.47.1556</t>
  </si>
  <si>
    <t>RYGB6745</t>
  </si>
  <si>
    <t>Historic Bicycle Sales</t>
  </si>
  <si>
    <t>0522-556556</t>
  </si>
  <si>
    <t>MROB4444</t>
  </si>
  <si>
    <t>Great Bikes</t>
  </si>
  <si>
    <t>+61 2 9495 8556</t>
  </si>
  <si>
    <t>EUUB6672</t>
  </si>
  <si>
    <t>World Bike Discount Store</t>
  </si>
  <si>
    <t>(071) 23 67 2556</t>
  </si>
  <si>
    <t>OTHB8403</t>
  </si>
  <si>
    <t>Wheel Gallery</t>
  </si>
  <si>
    <t>GSCB5065</t>
  </si>
  <si>
    <t>Retail Mall</t>
  </si>
  <si>
    <t>GYPB5626</t>
  </si>
  <si>
    <t>Daring Rides</t>
  </si>
  <si>
    <t>(02) 5554 68</t>
  </si>
  <si>
    <t>RXXB7136</t>
  </si>
  <si>
    <t>Synthetic Materials Manufacturing</t>
  </si>
  <si>
    <t>7675-3556</t>
  </si>
  <si>
    <t>CKCB8577</t>
  </si>
  <si>
    <t>The Bike Shop</t>
  </si>
  <si>
    <t>61-9-3844-6556</t>
  </si>
  <si>
    <t>AJDB8747</t>
  </si>
  <si>
    <t>Seventh Bike Store</t>
  </si>
  <si>
    <t>MISB6161</t>
  </si>
  <si>
    <t>Friendly Bike Shop</t>
  </si>
  <si>
    <t>91.24.4556</t>
  </si>
  <si>
    <t>OKVB8648</t>
  </si>
  <si>
    <t>Yellow Bicycle Company</t>
  </si>
  <si>
    <t>61.77.6556</t>
  </si>
  <si>
    <t>PMFB7434</t>
  </si>
  <si>
    <t>First Bike Store</t>
  </si>
  <si>
    <t>JANB6265</t>
  </si>
  <si>
    <t>Better Bike Shop</t>
  </si>
  <si>
    <t>FJOB6071</t>
  </si>
  <si>
    <t>Superb Sales and Repair</t>
  </si>
  <si>
    <t>GDMB5035</t>
  </si>
  <si>
    <t>A Bike Store</t>
  </si>
  <si>
    <t>GTAB6411</t>
  </si>
  <si>
    <t>Sharp Bikes</t>
  </si>
  <si>
    <t>CGIB8633</t>
  </si>
  <si>
    <t>Catalog Store</t>
  </si>
  <si>
    <t>GBCB6755</t>
  </si>
  <si>
    <t>Cross-Country Riding Supplies</t>
  </si>
  <si>
    <t>MPNB8134</t>
  </si>
  <si>
    <t>Exotic Bikes</t>
  </si>
  <si>
    <t>MCAB7008</t>
  </si>
  <si>
    <t>Journey Sporting Goods</t>
  </si>
  <si>
    <t>MRVC6702</t>
  </si>
  <si>
    <t>Every Bike Shop</t>
  </si>
  <si>
    <t>CRSC7608</t>
  </si>
  <si>
    <t>Metro Bike Mart</t>
  </si>
  <si>
    <t>CPQC8257</t>
  </si>
  <si>
    <t>Outdoor Sports Supply</t>
  </si>
  <si>
    <t>29 rue du Colonel Pierre Avia</t>
  </si>
  <si>
    <t>VLQC5336</t>
  </si>
  <si>
    <t>Preferred Bikes</t>
  </si>
  <si>
    <t>3088 Ingle Ln.</t>
  </si>
  <si>
    <t>JMSC6373</t>
  </si>
  <si>
    <t>Rewarding Activities Company</t>
  </si>
  <si>
    <t>8618 Spinnaker Dr.</t>
  </si>
  <si>
    <t>PMKC7405</t>
  </si>
  <si>
    <t>Unified Sports Company</t>
  </si>
  <si>
    <t>FIN-02273</t>
  </si>
  <si>
    <t>CSPC8225</t>
  </si>
  <si>
    <t>National Manufacturing</t>
  </si>
  <si>
    <t>?kergatan 26</t>
  </si>
  <si>
    <t>S-844 69</t>
  </si>
  <si>
    <t>LIJC8647</t>
  </si>
  <si>
    <t>Wholesale Bikes</t>
  </si>
  <si>
    <t>Geislweg 16</t>
  </si>
  <si>
    <t>TIVC7642</t>
  </si>
  <si>
    <t>Wholesale Parts</t>
  </si>
  <si>
    <t>5679 Strong St.</t>
  </si>
  <si>
    <t>JTDC5253</t>
  </si>
  <si>
    <t>Transportation Options</t>
  </si>
  <si>
    <t>25595 South Bay Ln.</t>
  </si>
  <si>
    <t>NGEC6535</t>
  </si>
  <si>
    <t>Only Bikes and Accessories</t>
  </si>
  <si>
    <t>106-0034</t>
  </si>
  <si>
    <t>VVJC6064</t>
  </si>
  <si>
    <t>Raw Materials Inc</t>
  </si>
  <si>
    <t>4099 Douglas Av.</t>
  </si>
  <si>
    <t>LKBC8731</t>
  </si>
  <si>
    <t>Tire Company</t>
  </si>
  <si>
    <t>Keskuskatu 47</t>
  </si>
  <si>
    <t>CQCC6721</t>
  </si>
  <si>
    <t>Suburban Cycle Shop</t>
  </si>
  <si>
    <t>GADC8338</t>
  </si>
  <si>
    <t>Farthermost Bike Shop</t>
  </si>
  <si>
    <t>4577 Hillside Dr.</t>
  </si>
  <si>
    <t>CXGC7711</t>
  </si>
  <si>
    <t>Non-Slip Pedal Company</t>
  </si>
  <si>
    <t>Vinb'ltet 36</t>
  </si>
  <si>
    <t>MOMC7015</t>
  </si>
  <si>
    <t>Field Trip Inc</t>
  </si>
  <si>
    <t>7588 Pompton St.</t>
  </si>
  <si>
    <t>PTLC8563</t>
  </si>
  <si>
    <t>New and Used Bicycles</t>
  </si>
  <si>
    <t>MYSC6156</t>
  </si>
  <si>
    <t>Professional Cyclists</t>
  </si>
  <si>
    <t>61 rue de l'Abbaye</t>
  </si>
  <si>
    <t>DYGC7022</t>
  </si>
  <si>
    <t>Gasless Cycle Shop</t>
  </si>
  <si>
    <t>Strada Provinciale 126</t>
  </si>
  <si>
    <t>MVOC5021</t>
  </si>
  <si>
    <t>Sure &amp; Reliable Sporting Goods</t>
  </si>
  <si>
    <t>NRAC8564</t>
  </si>
  <si>
    <t>Wire Baskets and Parts</t>
  </si>
  <si>
    <t>Boulevard Tirou, 257</t>
  </si>
  <si>
    <t>B-6002</t>
  </si>
  <si>
    <t>MVNC7633</t>
  </si>
  <si>
    <t>Swift Cycles</t>
  </si>
  <si>
    <t>CYVC6774</t>
  </si>
  <si>
    <t>Rental Bikes</t>
  </si>
  <si>
    <t>7478 Moss Rd.</t>
  </si>
  <si>
    <t>RJTD6542</t>
  </si>
  <si>
    <t>Highway Bike Shop</t>
  </si>
  <si>
    <t>Rue Joseph-Bens 534</t>
  </si>
  <si>
    <t>B-1182</t>
  </si>
  <si>
    <t>MVOD7618</t>
  </si>
  <si>
    <t>Active Transport Inc.</t>
  </si>
  <si>
    <t>Kirchgasse 8</t>
  </si>
  <si>
    <t>VDJD8316</t>
  </si>
  <si>
    <t>Alternative Vehicles</t>
  </si>
  <si>
    <t>9 Allen Street</t>
  </si>
  <si>
    <t>EQDD5641</t>
  </si>
  <si>
    <t>Tread Industries</t>
  </si>
  <si>
    <t>NQRD6662</t>
  </si>
  <si>
    <t>Moderately-Priced Bikes Store</t>
  </si>
  <si>
    <t>JHLD7173</t>
  </si>
  <si>
    <t>The Gear Store</t>
  </si>
  <si>
    <t>3 rue Alsace-Lorraine</t>
  </si>
  <si>
    <t>PAUL6238</t>
  </si>
  <si>
    <t>Resale Services</t>
  </si>
  <si>
    <t>CAND6546</t>
  </si>
  <si>
    <t>Metropolitan Manufacturing</t>
  </si>
  <si>
    <t>1788 First Street</t>
  </si>
  <si>
    <t>IXID6658</t>
  </si>
  <si>
    <t>Finer Riding Supplies</t>
  </si>
  <si>
    <t>MLQD7467</t>
  </si>
  <si>
    <t>First-Rate Outlet</t>
  </si>
  <si>
    <t>C/ Moralzarzal, 89</t>
  </si>
  <si>
    <t>RJND6601</t>
  </si>
  <si>
    <t>Year-Round Sports</t>
  </si>
  <si>
    <t>7828 Douglas Av.</t>
  </si>
  <si>
    <t>YKKD5703</t>
  </si>
  <si>
    <t>Totes &amp; Baskets Company</t>
  </si>
  <si>
    <t>204 Miller Street</t>
  </si>
  <si>
    <t>NXCD6258</t>
  </si>
  <si>
    <t>Scratch-Resistant Finishes Company</t>
  </si>
  <si>
    <t>46 rue St. Laurent</t>
  </si>
  <si>
    <t>H1J 1C6</t>
  </si>
  <si>
    <t>LIVD8557</t>
  </si>
  <si>
    <t>Primary Bike Distributors</t>
  </si>
  <si>
    <t>34 Duncan St. West End</t>
  </si>
  <si>
    <t>JMSD4701</t>
  </si>
  <si>
    <t>Leather and Vinyl Manufacturing</t>
  </si>
  <si>
    <t>JMSP8177</t>
  </si>
  <si>
    <t>Great Bicycle Supply</t>
  </si>
  <si>
    <t>9411 Furth Circle</t>
  </si>
  <si>
    <t>SXND8106</t>
  </si>
  <si>
    <t>Bold Bike Accessories</t>
  </si>
  <si>
    <t>Torikatu 41</t>
  </si>
  <si>
    <t>MYHA5662</t>
  </si>
  <si>
    <t>Two-Wheeled Transit Company</t>
  </si>
  <si>
    <t>40.67.8557</t>
  </si>
  <si>
    <t>JUJA7579</t>
  </si>
  <si>
    <t>Serious Cycles</t>
  </si>
  <si>
    <t>STWA6756</t>
  </si>
  <si>
    <t>District Mall</t>
  </si>
  <si>
    <t>(171) 555-2284</t>
  </si>
  <si>
    <t>MOXA8676</t>
  </si>
  <si>
    <t>Sparkling Paint and Finishes</t>
  </si>
  <si>
    <t>(91) 555 94 46</t>
  </si>
  <si>
    <t>OKHA7402</t>
  </si>
  <si>
    <t>Sturdy Toys</t>
  </si>
  <si>
    <t>HXFA5613</t>
  </si>
  <si>
    <t>Sixth Bike Store</t>
  </si>
  <si>
    <t>AMLL5576</t>
  </si>
  <si>
    <t>Brightwork Company</t>
  </si>
  <si>
    <t>(514) 555-8056</t>
  </si>
  <si>
    <t>VYKA6768</t>
  </si>
  <si>
    <t>Affordable Sports Equipment</t>
  </si>
  <si>
    <t>61-7-3844-6557</t>
  </si>
  <si>
    <t>JTNA6127</t>
  </si>
  <si>
    <t>Consolidated Sales</t>
  </si>
  <si>
    <t>(1) 47.55.6557</t>
  </si>
  <si>
    <t>MWCA6266</t>
  </si>
  <si>
    <t>Super Sports Store</t>
  </si>
  <si>
    <t>MJXA6547</t>
  </si>
  <si>
    <t>Thorough Parts and Repair Services</t>
  </si>
  <si>
    <t>981-443657</t>
  </si>
  <si>
    <t>SLJB6308</t>
  </si>
  <si>
    <t>Vast Bike Sales and Rental</t>
  </si>
  <si>
    <t>+33 1 46 62 7557</t>
  </si>
  <si>
    <t>PBXB6058</t>
  </si>
  <si>
    <t>Social Activities Club</t>
  </si>
  <si>
    <t>JQAB5532</t>
  </si>
  <si>
    <t>Major Cycling</t>
  </si>
  <si>
    <t>MCEB7244</t>
  </si>
  <si>
    <t>Basic Sports Equipment</t>
  </si>
  <si>
    <t>+358 9 8045 557</t>
  </si>
  <si>
    <t>SLFB8538</t>
  </si>
  <si>
    <t>Tough and Reliable Parts</t>
  </si>
  <si>
    <t>0695-34 6557</t>
  </si>
  <si>
    <t>TBJB6448</t>
  </si>
  <si>
    <t>Fun Times Club</t>
  </si>
  <si>
    <t>6562-9557</t>
  </si>
  <si>
    <t>ANTB6717</t>
  </si>
  <si>
    <t>Alpine Ski House</t>
  </si>
  <si>
    <t>MIVB7136</t>
  </si>
  <si>
    <t>Sunny Place Bikes</t>
  </si>
  <si>
    <t>GLFB8133</t>
  </si>
  <si>
    <t>Tenth Bike Store</t>
  </si>
  <si>
    <t>+81 3 3584 0557</t>
  </si>
  <si>
    <t>ISKB7124</t>
  </si>
  <si>
    <t>New Bikes Company</t>
  </si>
  <si>
    <t>JQDB8362</t>
  </si>
  <si>
    <t>Retail Sales and Service</t>
  </si>
  <si>
    <t>90-224 8557</t>
  </si>
  <si>
    <t>MRTB6167</t>
  </si>
  <si>
    <t>Some Discount Store</t>
  </si>
  <si>
    <t>88.60.1557</t>
  </si>
  <si>
    <t>JFIB7354</t>
  </si>
  <si>
    <t>eCommerce Bikes</t>
  </si>
  <si>
    <t>PQWB6379</t>
  </si>
  <si>
    <t>Designated Distributors</t>
  </si>
  <si>
    <t>33 12 3555</t>
  </si>
  <si>
    <t>ERUB5336</t>
  </si>
  <si>
    <t>Qualified Sales and Repair Services</t>
  </si>
  <si>
    <t>NYSB7208</t>
  </si>
  <si>
    <t>General Associates</t>
  </si>
  <si>
    <t>CESB5074</t>
  </si>
  <si>
    <t>Hardware Components</t>
  </si>
  <si>
    <t>26.47.1557</t>
  </si>
  <si>
    <t>RYGB6746</t>
  </si>
  <si>
    <t>Permanent Finish Products</t>
  </si>
  <si>
    <t>0522-556557</t>
  </si>
  <si>
    <t>MROB4445</t>
  </si>
  <si>
    <t>Lease-a-Bike Shop</t>
  </si>
  <si>
    <t>+61 2 9495 8557</t>
  </si>
  <si>
    <t>EUUB6673</t>
  </si>
  <si>
    <t>Roadway Supplies</t>
  </si>
  <si>
    <t>(071) 23 67 2557</t>
  </si>
  <si>
    <t>OTHB8404</t>
  </si>
  <si>
    <t>Brakes and Gears</t>
  </si>
  <si>
    <t>GSCB5066</t>
  </si>
  <si>
    <t>Advanced Bike Components</t>
  </si>
  <si>
    <t>GYPB5627</t>
  </si>
  <si>
    <t>Central Discount Store</t>
  </si>
  <si>
    <t>(02) 5554 69</t>
  </si>
  <si>
    <t>RXXB7137</t>
  </si>
  <si>
    <t>Stylish Department Stores</t>
  </si>
  <si>
    <t>7675-3557</t>
  </si>
  <si>
    <t>CKCB8578</t>
  </si>
  <si>
    <t>Greater Bike Store</t>
  </si>
  <si>
    <t>61-9-3844-6557</t>
  </si>
  <si>
    <t>AJDB8748</t>
  </si>
  <si>
    <t>Larger Cycle Shop</t>
  </si>
  <si>
    <t>MISB6162</t>
  </si>
  <si>
    <t>Leading Sales &amp; Repair</t>
  </si>
  <si>
    <t>91.24.4557</t>
  </si>
  <si>
    <t>OKVB8649</t>
  </si>
  <si>
    <t>Paint Supply</t>
  </si>
  <si>
    <t>61.77.6557</t>
  </si>
  <si>
    <t>PMFB7435</t>
  </si>
  <si>
    <t>Scooters and Bikes Store</t>
  </si>
  <si>
    <t>JANB6266</t>
  </si>
  <si>
    <t>Sports Commodities</t>
  </si>
  <si>
    <t>FJOB6072</t>
  </si>
  <si>
    <t>Stationary Bikes and Stands</t>
  </si>
  <si>
    <t>GDMB5036</t>
  </si>
  <si>
    <t>Two Wheels Cycle Store</t>
  </si>
  <si>
    <t>GTAB6412</t>
  </si>
  <si>
    <t>Rapid Bikes</t>
  </si>
  <si>
    <t>CGIB8634</t>
  </si>
  <si>
    <t>Famous Bike Sales and Service</t>
  </si>
  <si>
    <t>GBCB6756</t>
  </si>
  <si>
    <t>Modern Bike Store</t>
  </si>
  <si>
    <t>MPNB8135</t>
  </si>
  <si>
    <t>Corner Bicycle Supply</t>
  </si>
  <si>
    <t>MCAB7009</t>
  </si>
  <si>
    <t>Metal Processing Company</t>
  </si>
  <si>
    <t>MRVC6703</t>
  </si>
  <si>
    <t>Downtown Hotel</t>
  </si>
  <si>
    <t>CRSC7609</t>
  </si>
  <si>
    <t>Excellent Riding Supplies</t>
  </si>
  <si>
    <t>CPQC8258</t>
  </si>
  <si>
    <t>Certified Sports Supply</t>
  </si>
  <si>
    <t>30 rue du Colonel Pierre Avia</t>
  </si>
  <si>
    <t>VLQC5337</t>
  </si>
  <si>
    <t>Sundry Sporting Goods</t>
  </si>
  <si>
    <t>3089 Ingle Ln.</t>
  </si>
  <si>
    <t>JMSC6374</t>
  </si>
  <si>
    <t>Full-Service Bike Store</t>
  </si>
  <si>
    <t>8619 Spinnaker Dr.</t>
  </si>
  <si>
    <t>PMKC7406</t>
  </si>
  <si>
    <t>Trailblazing Sports</t>
  </si>
  <si>
    <t>FIN-02274</t>
  </si>
  <si>
    <t>CSPC8226</t>
  </si>
  <si>
    <t>Painters Bicycle Specialists</t>
  </si>
  <si>
    <t>?kergatan 27</t>
  </si>
  <si>
    <t>S-844 70</t>
  </si>
  <si>
    <t>LIJC8648</t>
  </si>
  <si>
    <t>Sample Bike Store</t>
  </si>
  <si>
    <t>Geislweg 17</t>
  </si>
  <si>
    <t>TIVC7643</t>
  </si>
  <si>
    <t>A Great Bicycle Company</t>
  </si>
  <si>
    <t>5680 Strong St.</t>
  </si>
  <si>
    <t>JTDC5254</t>
  </si>
  <si>
    <t>Metro Cycle Shop</t>
  </si>
  <si>
    <t>25596 South Bay Ln.</t>
  </si>
  <si>
    <t>NGEC6536</t>
  </si>
  <si>
    <t>A Typical Bike Shop</t>
  </si>
  <si>
    <t>106-0035</t>
  </si>
  <si>
    <t>VVJC6065</t>
  </si>
  <si>
    <t>Reliable Brake Systems</t>
  </si>
  <si>
    <t>4100 Douglas Av.</t>
  </si>
  <si>
    <t>LKBC8732</t>
  </si>
  <si>
    <t>Fashionable Bikes and Accessories</t>
  </si>
  <si>
    <t>Keskuskatu 48</t>
  </si>
  <si>
    <t>CQCC6722</t>
  </si>
  <si>
    <t>The New Bike Store</t>
  </si>
  <si>
    <t>GADC8339</t>
  </si>
  <si>
    <t>Distinctive Store</t>
  </si>
  <si>
    <t>4578 Hillside Dr.</t>
  </si>
  <si>
    <t>CXGC7712</t>
  </si>
  <si>
    <t>Extended Bike Sales</t>
  </si>
  <si>
    <t>Vinb'ltet 37</t>
  </si>
  <si>
    <t>MOMC7016</t>
  </si>
  <si>
    <t>Elemental Sporting Goods</t>
  </si>
  <si>
    <t>7589 Pompton St.</t>
  </si>
  <si>
    <t>PTLC8564</t>
  </si>
  <si>
    <t>Distinctive Cycles Sales &amp; Service</t>
  </si>
  <si>
    <t>MYSC6157</t>
  </si>
  <si>
    <t>Touring Services</t>
  </si>
  <si>
    <t>62 rue de l'Abbaye</t>
  </si>
  <si>
    <t>DYGC7023</t>
  </si>
  <si>
    <t>Genuine Bike Shop</t>
  </si>
  <si>
    <t>Strada Provinciale 127</t>
  </si>
  <si>
    <t>MVOC5022</t>
  </si>
  <si>
    <t>Good Bike Shop</t>
  </si>
  <si>
    <t>NRAC8565</t>
  </si>
  <si>
    <t>Remarkable Bike Store</t>
  </si>
  <si>
    <t>Boulevard Tirou, 258</t>
  </si>
  <si>
    <t>B-6003</t>
  </si>
  <si>
    <t>MVNC7634</t>
  </si>
  <si>
    <t>Regional Manufacturing</t>
  </si>
  <si>
    <t>CYVC6775</t>
  </si>
  <si>
    <t>Unique Bikes</t>
  </si>
  <si>
    <t>7479 Moss Rd.</t>
  </si>
  <si>
    <t>RJTD6543</t>
  </si>
  <si>
    <t>Price-Cutter Discount Bikes</t>
  </si>
  <si>
    <t>Rue Joseph-Bens 535</t>
  </si>
  <si>
    <t>B-1183</t>
  </si>
  <si>
    <t>MVOD7619</t>
  </si>
  <si>
    <t>Racing Toys</t>
  </si>
  <si>
    <t>Kirchgasse 9</t>
  </si>
  <si>
    <t>VDJD8317</t>
  </si>
  <si>
    <t>Quick Delivery Service</t>
  </si>
  <si>
    <t>10 Allen Street</t>
  </si>
  <si>
    <t>EQDD5642</t>
  </si>
  <si>
    <t>Metropolitan Sales and Rental</t>
  </si>
  <si>
    <t>NQRD6663</t>
  </si>
  <si>
    <t>Cycles and Scooters</t>
  </si>
  <si>
    <t>JHLD7174</t>
  </si>
  <si>
    <t>Mountain Toy Store</t>
  </si>
  <si>
    <t>4 rue Alsace-Lorraine</t>
  </si>
  <si>
    <t>PAUL6239</t>
  </si>
  <si>
    <t>Practical Bike Supply Company</t>
  </si>
  <si>
    <t>CAND6547</t>
  </si>
  <si>
    <t>Global Plaza</t>
  </si>
  <si>
    <t>1789 First Street</t>
  </si>
  <si>
    <t>IXID6659</t>
  </si>
  <si>
    <t>Bicycle Outfitters</t>
  </si>
  <si>
    <t>MLQD7468</t>
  </si>
  <si>
    <t>The Bike Mechanics</t>
  </si>
  <si>
    <t>C/ Moralzarzal, 90</t>
  </si>
  <si>
    <t>RJND6602</t>
  </si>
  <si>
    <t>Riders Company</t>
  </si>
  <si>
    <t>7829 Douglas Av.</t>
  </si>
  <si>
    <t>YKKD5704</t>
  </si>
  <si>
    <t>Rural Sales and Service</t>
  </si>
  <si>
    <t>205 Miller Street</t>
  </si>
  <si>
    <t>NXCD6259</t>
  </si>
  <si>
    <t>Safe Toys</t>
  </si>
  <si>
    <t>47 rue St. Laurent</t>
  </si>
  <si>
    <t>H1J 1C7</t>
  </si>
  <si>
    <t>LIVD8558</t>
  </si>
  <si>
    <t>Next-Door Bike Store</t>
  </si>
  <si>
    <t>35 Duncan St. West End</t>
  </si>
  <si>
    <t>JMSD4702</t>
  </si>
  <si>
    <t>General Cycle Storehouse</t>
  </si>
  <si>
    <t>JMSP8178</t>
  </si>
  <si>
    <t>Ultimate Bike Shop</t>
  </si>
  <si>
    <t>9412 Furth Circle</t>
  </si>
  <si>
    <t>SXND8107</t>
  </si>
  <si>
    <t>Golf and Cycle Store</t>
  </si>
  <si>
    <t>Torikatu 42</t>
  </si>
  <si>
    <t>MYHA5663</t>
  </si>
  <si>
    <t>First Cycle Store</t>
  </si>
  <si>
    <t>40.67.8558</t>
  </si>
  <si>
    <t>JUJA7580</t>
  </si>
  <si>
    <t>Tandem Sales and Service</t>
  </si>
  <si>
    <t>STWA6757</t>
  </si>
  <si>
    <t>Solid Bike Parts</t>
  </si>
  <si>
    <t>(171) 555-2285</t>
  </si>
  <si>
    <t>MOXA8677</t>
  </si>
  <si>
    <t>Small Bike Shop</t>
  </si>
  <si>
    <t>(91) 555 94 47</t>
  </si>
  <si>
    <t>OKHA7403</t>
  </si>
  <si>
    <t>Discount Tours</t>
  </si>
  <si>
    <t>HXFA5614</t>
  </si>
  <si>
    <t>Bike Goods</t>
  </si>
  <si>
    <t>AMLL5577</t>
  </si>
  <si>
    <t>Vigorous Exercise Company</t>
  </si>
  <si>
    <t>(514) 555-8057</t>
  </si>
  <si>
    <t>VYKA6769</t>
  </si>
  <si>
    <t>Largest Bike Store</t>
  </si>
  <si>
    <t>61-7-3844-6558</t>
  </si>
  <si>
    <t>JTNA6128</t>
  </si>
  <si>
    <t>Lots of Bikes Storehouse</t>
  </si>
  <si>
    <t>(1) 47.55.6558</t>
  </si>
  <si>
    <t>MWCA6267</t>
  </si>
  <si>
    <t>Handy Bike Services</t>
  </si>
  <si>
    <t>MJXA6548</t>
  </si>
  <si>
    <t>Acceptable Sales &amp; Service</t>
  </si>
  <si>
    <t>981-443658</t>
  </si>
  <si>
    <t>SLJB6309</t>
  </si>
  <si>
    <t>Plastic Parts Company</t>
  </si>
  <si>
    <t>+33 1 46 62 7558</t>
  </si>
  <si>
    <t>PBXB6059</t>
  </si>
  <si>
    <t>The Showroom</t>
  </si>
  <si>
    <t>JQAB5533</t>
  </si>
  <si>
    <t>Recommended Bicycles</t>
  </si>
  <si>
    <t>MCEB7245</t>
  </si>
  <si>
    <t>Nonskid Tire Company</t>
  </si>
  <si>
    <t>+358 9 8045 558</t>
  </si>
  <si>
    <t>SLFB8539</t>
  </si>
  <si>
    <t>General Department Stores</t>
  </si>
  <si>
    <t>0695-34 6558</t>
  </si>
  <si>
    <t>TBJB6449</t>
  </si>
  <si>
    <t>More Bikes!</t>
  </si>
  <si>
    <t>6562-9558</t>
  </si>
  <si>
    <t>ANTB6718</t>
  </si>
  <si>
    <t>Westside Cycle Store</t>
  </si>
  <si>
    <t>MIVB7137</t>
  </si>
  <si>
    <t>Retirement Activities Association</t>
  </si>
  <si>
    <t>GLFB8134</t>
  </si>
  <si>
    <t>Demand Distributors</t>
  </si>
  <si>
    <t>+81 3 3584 0558</t>
  </si>
  <si>
    <t>ISKB7125</t>
  </si>
  <si>
    <t>One-Piece Handle Bars</t>
  </si>
  <si>
    <t>JQDB8363</t>
  </si>
  <si>
    <t>Finer Parts Shop</t>
  </si>
  <si>
    <t>90-224 8558</t>
  </si>
  <si>
    <t>MRTB6168</t>
  </si>
  <si>
    <t>Finish and Sealant Products</t>
  </si>
  <si>
    <t>88.60.1558</t>
  </si>
  <si>
    <t>JFIB7355</t>
  </si>
  <si>
    <t>Vinyl and Plastic Goods Corporation</t>
  </si>
  <si>
    <t>PQWB6380</t>
  </si>
  <si>
    <t>Modular Cycle Systems</t>
  </si>
  <si>
    <t>34 12 3555</t>
  </si>
  <si>
    <t>ERUB5337</t>
  </si>
  <si>
    <t>Associated Bikes</t>
  </si>
  <si>
    <t>NYSB7209</t>
  </si>
  <si>
    <t>Distant Inn</t>
  </si>
  <si>
    <t>CESB5075</t>
  </si>
  <si>
    <t>Rally Day Mall</t>
  </si>
  <si>
    <t>26.47.1558</t>
  </si>
  <si>
    <t>RYGB6747</t>
  </si>
  <si>
    <t>Specialty Sports Store</t>
  </si>
  <si>
    <t>0522-556558</t>
  </si>
  <si>
    <t>MROB4446</t>
  </si>
  <si>
    <t>Immediate Repair Shop</t>
  </si>
  <si>
    <t>+61 2 9495 8558</t>
  </si>
  <si>
    <t>EUUB6674</t>
  </si>
  <si>
    <t>Steel Inc.</t>
  </si>
  <si>
    <t>(071) 23 67 2558</t>
  </si>
  <si>
    <t>OTHB8405</t>
  </si>
  <si>
    <t>This Area Sporting Goods</t>
  </si>
  <si>
    <t>GSCB5067</t>
  </si>
  <si>
    <t>Go-cart and Bike Specialists</t>
  </si>
  <si>
    <t>GYPB5628</t>
  </si>
  <si>
    <t>Instant Cycle Store</t>
  </si>
  <si>
    <t>(02) 5554 70</t>
  </si>
  <si>
    <t>RXXB7138</t>
  </si>
  <si>
    <t>Eastside Sporting Goods</t>
  </si>
  <si>
    <t>7675-3558</t>
  </si>
  <si>
    <t>CKCB8579</t>
  </si>
  <si>
    <t>Spoke Manufacturers</t>
  </si>
  <si>
    <t>61-9-3844-6558</t>
  </si>
  <si>
    <t>AJDB8749</t>
  </si>
  <si>
    <t>Leather Seat Factory</t>
  </si>
  <si>
    <t>MISB6163</t>
  </si>
  <si>
    <t>Large Bike Shop</t>
  </si>
  <si>
    <t>91.24.4558</t>
  </si>
  <si>
    <t>OKVB8650</t>
  </si>
  <si>
    <t>Classic Cycle Store</t>
  </si>
  <si>
    <t>61.77.6558</t>
  </si>
  <si>
    <t>PMFB7436</t>
  </si>
  <si>
    <t>Roving Sports</t>
  </si>
  <si>
    <t>JANB6267</t>
  </si>
  <si>
    <t>Full Sports Supply</t>
  </si>
  <si>
    <t>FJOB6073</t>
  </si>
  <si>
    <t>Active Systems</t>
  </si>
  <si>
    <t>GDMB5037</t>
  </si>
  <si>
    <t>Number One Bike Co.</t>
  </si>
  <si>
    <t>GTAB6413</t>
  </si>
  <si>
    <t>Citywide Service and Repair</t>
  </si>
  <si>
    <t>CGIB8635</t>
  </si>
  <si>
    <t>All Cycle Shop</t>
  </si>
  <si>
    <t>GBCB6757</t>
  </si>
  <si>
    <t>Recreation Toy Store</t>
  </si>
  <si>
    <t>MPNB8136</t>
  </si>
  <si>
    <t>Spare Parts Co.</t>
  </si>
  <si>
    <t>MCAB7010</t>
  </si>
  <si>
    <t>First Department Stores</t>
  </si>
  <si>
    <t>MRVC6704</t>
  </si>
  <si>
    <t>Racing Association</t>
  </si>
  <si>
    <t>CRSC7610</t>
  </si>
  <si>
    <t>Commendable Bikes</t>
  </si>
  <si>
    <t>CPQC8259</t>
  </si>
  <si>
    <t>Activity Center</t>
  </si>
  <si>
    <t>31 rue du Colonel Pierre Avia</t>
  </si>
  <si>
    <t>VLQC5338</t>
  </si>
  <si>
    <t>Grand Discount Store</t>
  </si>
  <si>
    <t>3090 Ingle Ln.</t>
  </si>
  <si>
    <t>JMSC6375</t>
  </si>
  <si>
    <t>Bikes for Kids and Adults</t>
  </si>
  <si>
    <t>8620 Spinnaker Dr.</t>
  </si>
  <si>
    <t>PMKC7407</t>
  </si>
  <si>
    <t>Professional Cycle Store</t>
  </si>
  <si>
    <t>FIN-02275</t>
  </si>
  <si>
    <t>CSPC8227</t>
  </si>
  <si>
    <t>Hobby Store</t>
  </si>
  <si>
    <t>?kergatan 28</t>
  </si>
  <si>
    <t>S-844 71</t>
  </si>
  <si>
    <t>LIJC8649</t>
  </si>
  <si>
    <t>Real Sporting Goods</t>
  </si>
  <si>
    <t>Geislweg 18</t>
  </si>
  <si>
    <t>TIVC7644</t>
  </si>
  <si>
    <t>Worthwhile Activity Store</t>
  </si>
  <si>
    <t>5681 Strong St.</t>
  </si>
  <si>
    <t>JTDC5255</t>
  </si>
  <si>
    <t>Top Sports Supply</t>
  </si>
  <si>
    <t>25597 South Bay Ln.</t>
  </si>
  <si>
    <t>NGEC6537</t>
  </si>
  <si>
    <t>Futuristic Sport Distributors</t>
  </si>
  <si>
    <t>106-0036</t>
  </si>
  <si>
    <t>VVJC6066</t>
  </si>
  <si>
    <t>Valuable Bike Parts Company</t>
  </si>
  <si>
    <t>4101 Douglas Av.</t>
  </si>
  <si>
    <t>LKBC8733</t>
  </si>
  <si>
    <t>Prosperous Tours</t>
  </si>
  <si>
    <t>Keskuskatu 49</t>
  </si>
  <si>
    <t>CQCC6723</t>
  </si>
  <si>
    <t>Casual Bicycle Store</t>
  </si>
  <si>
    <t>GADC8340</t>
  </si>
  <si>
    <t>Retail Toy Store</t>
  </si>
  <si>
    <t>4579 Hillside Dr.</t>
  </si>
  <si>
    <t>CXGC7713</t>
  </si>
  <si>
    <t>Gift and Toy Store</t>
  </si>
  <si>
    <t>Vinb'ltet 38</t>
  </si>
  <si>
    <t>MOMC7017</t>
  </si>
  <si>
    <t>Executive Discount Store</t>
  </si>
  <si>
    <t>7590 Pompton St.</t>
  </si>
  <si>
    <t>PTLC8565</t>
  </si>
  <si>
    <t>Extended Tours</t>
  </si>
  <si>
    <t>MYSC6158</t>
  </si>
  <si>
    <t>Exhilarating Cycles</t>
  </si>
  <si>
    <t>63 rue de l'Abbaye</t>
  </si>
  <si>
    <t>DYGC7024</t>
  </si>
  <si>
    <t>Official Parts Shop</t>
  </si>
  <si>
    <t>Strada Provinciale 128</t>
  </si>
  <si>
    <t>MVOC5023</t>
  </si>
  <si>
    <t>Western Bike Supplies</t>
  </si>
  <si>
    <t>NRAC8566</t>
  </si>
  <si>
    <t>Village Tours</t>
  </si>
  <si>
    <t>Boulevard Tirou, 259</t>
  </si>
  <si>
    <t>B-6004</t>
  </si>
  <si>
    <t>MVNC7635</t>
  </si>
  <si>
    <t>Progressive Sports</t>
  </si>
  <si>
    <t>CYVC6776</t>
  </si>
  <si>
    <t>Bikes and Motorbikes</t>
  </si>
  <si>
    <t>7480 Moss Rd.</t>
  </si>
  <si>
    <t>RJTD6544</t>
  </si>
  <si>
    <t>Travel Systems</t>
  </si>
  <si>
    <t>Rue Joseph-Bens 536</t>
  </si>
  <si>
    <t>B-1184</t>
  </si>
  <si>
    <t>MVOD7620</t>
  </si>
  <si>
    <t>Frugal Bike Shop</t>
  </si>
  <si>
    <t>Kirchgasse 10</t>
  </si>
  <si>
    <t>VDJD8318</t>
  </si>
  <si>
    <t>Latest Accessories Sales</t>
  </si>
  <si>
    <t>11 Allen Street</t>
  </si>
  <si>
    <t>EQDD5643</t>
  </si>
  <si>
    <t>Manufacturers Inc</t>
  </si>
  <si>
    <t>NQRD6664</t>
  </si>
  <si>
    <t>Metro Manufacturing</t>
  </si>
  <si>
    <t>JHLD7175</t>
  </si>
  <si>
    <t>Neighborhood Store</t>
  </si>
  <si>
    <t>5 rue Alsace-Lorraine</t>
  </si>
  <si>
    <t>PAUL6240</t>
  </si>
  <si>
    <t>Mechanical Products Ltd.</t>
  </si>
  <si>
    <t>CAND6548</t>
  </si>
  <si>
    <t>Reasonable Bicycle Sales</t>
  </si>
  <si>
    <t>1790 First Street</t>
  </si>
  <si>
    <t>IXID6660</t>
  </si>
  <si>
    <t>Riverside Company</t>
  </si>
  <si>
    <t>MLQD7469</t>
  </si>
  <si>
    <t>Mountain Bike Center</t>
  </si>
  <si>
    <t>C/ Moralzarzal, 91</t>
  </si>
  <si>
    <t>RJND6603</t>
  </si>
  <si>
    <t>Urban Sports Emporium</t>
  </si>
  <si>
    <t>7830 Douglas Av.</t>
  </si>
  <si>
    <t>YKKD5705</t>
  </si>
  <si>
    <t>Wheelsets Storehouse</t>
  </si>
  <si>
    <t>206 Miller Street</t>
  </si>
  <si>
    <t>NXCD6260</t>
  </si>
  <si>
    <t>Security Racks and Locks Wholesalers</t>
  </si>
  <si>
    <t>48 rue St. Laurent</t>
  </si>
  <si>
    <t>H1J 1C8</t>
  </si>
  <si>
    <t>LIVD8559</t>
  </si>
  <si>
    <t>Nearby Sporting Goods</t>
  </si>
  <si>
    <t>36 Duncan St. West End</t>
  </si>
  <si>
    <t>JMSD4703</t>
  </si>
  <si>
    <t>Front Sporting Goods</t>
  </si>
  <si>
    <t>JMSP8179</t>
  </si>
  <si>
    <t>Wonderful Bikes Inc.</t>
  </si>
  <si>
    <t>9413 Furth Circle</t>
  </si>
  <si>
    <t>SXND8108</t>
  </si>
  <si>
    <t>Fleet Bikes</t>
  </si>
  <si>
    <t>Torikatu 43</t>
  </si>
  <si>
    <t>MYHA5664</t>
  </si>
  <si>
    <t>Distance Bikes</t>
  </si>
  <si>
    <t>40.67.8559</t>
  </si>
  <si>
    <t>JUJA7581</t>
  </si>
  <si>
    <t>Ace Bicycle Supply</t>
  </si>
  <si>
    <t>STWA6758</t>
  </si>
  <si>
    <t>Registered Cycle Store</t>
  </si>
  <si>
    <t>(171) 555-2286</t>
  </si>
  <si>
    <t>MOXA8678</t>
  </si>
  <si>
    <t>Lubricant and Grease Suppliers</t>
  </si>
  <si>
    <t>(91) 555 94 48</t>
  </si>
  <si>
    <t>OKHA7404</t>
  </si>
  <si>
    <t>Exclusive Bicycle Mart</t>
  </si>
  <si>
    <t>HXFA5615</t>
  </si>
  <si>
    <t>Pedal Systems Company</t>
  </si>
  <si>
    <t>AMLL5578</t>
  </si>
  <si>
    <t>Leisure Activities</t>
  </si>
  <si>
    <t>(514) 555-8058</t>
  </si>
  <si>
    <t>VYKA6770</t>
  </si>
  <si>
    <t>Fashionable Department Stores</t>
  </si>
  <si>
    <t>61-7-3844-6559</t>
  </si>
  <si>
    <t>JTNA6129</t>
  </si>
  <si>
    <t>Closeout Boutique</t>
  </si>
  <si>
    <t>(1) 47.55.6559</t>
  </si>
  <si>
    <t>MWCA6268</t>
  </si>
  <si>
    <t>Client Discount Store</t>
  </si>
  <si>
    <t>MJXA6549</t>
  </si>
  <si>
    <t>Major Amusement Company</t>
  </si>
  <si>
    <t>981-443659</t>
  </si>
  <si>
    <t>SLJB6310</t>
  </si>
  <si>
    <t>Number 1 Supply</t>
  </si>
  <si>
    <t>+33 1 46 62 7559</t>
  </si>
  <si>
    <t>PBXB6060</t>
  </si>
  <si>
    <t>Quantity Discounts</t>
  </si>
  <si>
    <t>JQAB5534</t>
  </si>
  <si>
    <t>Standard Bikes</t>
  </si>
  <si>
    <t>MCEB7246</t>
  </si>
  <si>
    <t>Extreme Toy Store</t>
  </si>
  <si>
    <t>+358 9 8045 559</t>
  </si>
  <si>
    <t>SLFB8540</t>
  </si>
  <si>
    <t>Rural Mountain Bike Mart</t>
  </si>
  <si>
    <t>0695-34 6559</t>
  </si>
  <si>
    <t>TBJB6450</t>
  </si>
  <si>
    <t>Orange Bicycle Company</t>
  </si>
  <si>
    <t>6562-9559</t>
  </si>
  <si>
    <t>ANTB6719</t>
  </si>
  <si>
    <t>Metro Bike Works</t>
  </si>
  <si>
    <t>MIVB7138</t>
  </si>
  <si>
    <t>Retreat Inn</t>
  </si>
  <si>
    <t>GLFB8135</t>
  </si>
  <si>
    <t>Mail-Order Outlet</t>
  </si>
  <si>
    <t>+81 3 3584 0559</t>
  </si>
  <si>
    <t>ISKB7126</t>
  </si>
  <si>
    <t>Genial Bike Associates</t>
  </si>
  <si>
    <t>JQDB8364</t>
  </si>
  <si>
    <t>Twelfth Bike Store</t>
  </si>
  <si>
    <t>90-224 8559</t>
  </si>
  <si>
    <t>MRTB6169</t>
  </si>
  <si>
    <t>Mechanical Sports Center</t>
  </si>
  <si>
    <t>88.60.1559</t>
  </si>
  <si>
    <t>JFIB7356</t>
  </si>
  <si>
    <t>Commerce Bicycle Specialists</t>
  </si>
  <si>
    <t>PQWB6381</t>
  </si>
  <si>
    <t>Grand Sport Boutique</t>
  </si>
  <si>
    <t>35 12 3555</t>
  </si>
  <si>
    <t>ERUB5338</t>
  </si>
  <si>
    <t>Bicycle Lines Distributors</t>
  </si>
  <si>
    <t>NYSB7210</t>
  </si>
  <si>
    <t>Executive Gift Store</t>
  </si>
  <si>
    <t>CESB5076</t>
  </si>
  <si>
    <t>Leisure Clearing House</t>
  </si>
  <si>
    <t>26.47.1559</t>
  </si>
  <si>
    <t>RYGB6748</t>
  </si>
  <si>
    <t>Custom Accessories Company</t>
  </si>
  <si>
    <t>0522-556559</t>
  </si>
  <si>
    <t>MROB4447</t>
  </si>
  <si>
    <t>Uttermost Bike Shop</t>
  </si>
  <si>
    <t>+61 2 9495 8559</t>
  </si>
  <si>
    <t>EUUB6675</t>
  </si>
  <si>
    <t>Satin Finish Company</t>
  </si>
  <si>
    <t>(071) 23 67 2559</t>
  </si>
  <si>
    <t>OTHB8406</t>
  </si>
  <si>
    <t>Sheet Metal Manufacturing</t>
  </si>
  <si>
    <t>GSCB5068</t>
  </si>
  <si>
    <t>Finer Cycle Shop</t>
  </si>
  <si>
    <t>GYPB5629</t>
  </si>
  <si>
    <t>Bike Products and Accessories</t>
  </si>
  <si>
    <t>(02) 5554 71</t>
  </si>
  <si>
    <t>RXXB7139</t>
  </si>
  <si>
    <t>Blue Bicycle Company</t>
  </si>
  <si>
    <t>7675-3559</t>
  </si>
  <si>
    <t>CKCB8580</t>
  </si>
  <si>
    <t>Noiseless Gear Company</t>
  </si>
  <si>
    <t>61-9-3844-6559</t>
  </si>
  <si>
    <t>AJDB8750</t>
  </si>
  <si>
    <t>General Supplies</t>
  </si>
  <si>
    <t>MISB6164</t>
  </si>
  <si>
    <t>Downhill Bicycle Specialists</t>
  </si>
  <si>
    <t>91.24.4559</t>
  </si>
  <si>
    <t>OKVB8651</t>
  </si>
  <si>
    <t>Bike Experts</t>
  </si>
  <si>
    <t>61.77.6559</t>
  </si>
  <si>
    <t>PMFB7437</t>
  </si>
  <si>
    <t>Tiny Bike Boutique</t>
  </si>
  <si>
    <t>JANB6268</t>
  </si>
  <si>
    <t>Chain and Chain Tool Distributions</t>
  </si>
  <si>
    <t>FJOB6074</t>
  </si>
  <si>
    <t>Big-Time Bike Store</t>
  </si>
  <si>
    <t>GDMB5038</t>
  </si>
  <si>
    <t>Spa and Exercise Outfitters</t>
  </si>
  <si>
    <t>GTAB6414</t>
  </si>
  <si>
    <t>Guaranteed Sales and Service</t>
  </si>
  <si>
    <t>CGIB8636</t>
  </si>
  <si>
    <t>Field Trip Store</t>
  </si>
  <si>
    <t>GBCB6758</t>
  </si>
  <si>
    <t>Economy Center</t>
  </si>
  <si>
    <t>MPNB8137</t>
  </si>
  <si>
    <t>Family's Favorite Bike Shop</t>
  </si>
  <si>
    <t>MCAB7011</t>
  </si>
  <si>
    <t>Area Sheet Metal Supply</t>
  </si>
  <si>
    <t>MRVC6705</t>
  </si>
  <si>
    <t>Professional Containers and Packaging Co.</t>
  </si>
  <si>
    <t>CRSC7611</t>
  </si>
  <si>
    <t>Cycling Goods</t>
  </si>
  <si>
    <t>CPQC8260</t>
  </si>
  <si>
    <t>Coho Sports</t>
  </si>
  <si>
    <t>32 rue du Colonel Pierre Avia</t>
  </si>
  <si>
    <t>VLQC5339</t>
  </si>
  <si>
    <t>Metropolitan Equipment</t>
  </si>
  <si>
    <t>3091 Ingle Ln.</t>
  </si>
  <si>
    <t>JMSC6376</t>
  </si>
  <si>
    <t>Fitness Sport Boutique</t>
  </si>
  <si>
    <t>8621 Spinnaker Dr.</t>
  </si>
  <si>
    <t>PMKC7408</t>
  </si>
  <si>
    <t>Superior Hardware Distributors</t>
  </si>
  <si>
    <t>FIN-02276</t>
  </si>
  <si>
    <t>CSPC8228</t>
  </si>
  <si>
    <t>Mercantile Outlet</t>
  </si>
  <si>
    <t>?kergatan 29</t>
  </si>
  <si>
    <t>S-844 72</t>
  </si>
  <si>
    <t>LIJC8650</t>
  </si>
  <si>
    <t>Bike Boutique</t>
  </si>
  <si>
    <t>Geislweg 19</t>
  </si>
  <si>
    <t>TIVC7645</t>
  </si>
  <si>
    <t>Traditional Department Stores</t>
  </si>
  <si>
    <t>5682 Strong St.</t>
  </si>
  <si>
    <t>JTDC5256</t>
  </si>
  <si>
    <t>Tire Exchange</t>
  </si>
  <si>
    <t>25598 South Bay Ln.</t>
  </si>
  <si>
    <t>NGEC6538</t>
  </si>
  <si>
    <t>Oils and Fluids Warehouse</t>
  </si>
  <si>
    <t>106-0037</t>
  </si>
  <si>
    <t>VVJC6067</t>
  </si>
  <si>
    <t>Finished Parts Shop</t>
  </si>
  <si>
    <t>4102 Douglas Av.</t>
  </si>
  <si>
    <t>LKBC8734</t>
  </si>
  <si>
    <t>The Accessories Store</t>
  </si>
  <si>
    <t>Keskuskatu 50</t>
  </si>
  <si>
    <t>CQCC6724</t>
  </si>
  <si>
    <t>Metropolitan Sports Supply</t>
  </si>
  <si>
    <t>GADC8341</t>
  </si>
  <si>
    <t>Rural Cycle Emporium</t>
  </si>
  <si>
    <t>4580 Hillside Dr.</t>
  </si>
  <si>
    <t>CXGC7714</t>
  </si>
  <si>
    <t>Bulk Discount Store</t>
  </si>
  <si>
    <t>Vinb'ltet 39</t>
  </si>
  <si>
    <t>MOMC7018</t>
  </si>
  <si>
    <t>Chic Department Stores</t>
  </si>
  <si>
    <t>7591 Pompton St.</t>
  </si>
  <si>
    <t>PTLC8566</t>
  </si>
  <si>
    <t>Bike World</t>
  </si>
  <si>
    <t>MYSC6159</t>
  </si>
  <si>
    <t>Eastside Department Store</t>
  </si>
  <si>
    <t>64 rue de l'Abbaye</t>
  </si>
  <si>
    <t>DYGC7025</t>
  </si>
  <si>
    <t>Coalition Bike Company</t>
  </si>
  <si>
    <t>Strada Provinciale 129</t>
  </si>
  <si>
    <t>MVOC5024</t>
  </si>
  <si>
    <t>Cycle Merchants</t>
  </si>
  <si>
    <t>NRAC8567</t>
  </si>
  <si>
    <t>Two Bike Shops</t>
  </si>
  <si>
    <t>Boulevard Tirou, 260</t>
  </si>
  <si>
    <t>B-6005</t>
  </si>
  <si>
    <t>MVNC7636</t>
  </si>
  <si>
    <t>Fitness Hotel</t>
  </si>
  <si>
    <t>CYVC6777</t>
  </si>
  <si>
    <t>Many Bikes Store</t>
  </si>
  <si>
    <t>7481 Moss Rd.</t>
  </si>
  <si>
    <t>RJTD6545</t>
  </si>
  <si>
    <t>Self-Contained Cycle Parts Company</t>
  </si>
  <si>
    <t>Rue Joseph-Bens 537</t>
  </si>
  <si>
    <t>B-1185</t>
  </si>
  <si>
    <t>MVOD7621</t>
  </si>
  <si>
    <t>Outdoor Equipment Store</t>
  </si>
  <si>
    <t>Kirchgasse 11</t>
  </si>
  <si>
    <t>VDJD8319</t>
  </si>
  <si>
    <t>Sales and Supply Company</t>
  </si>
  <si>
    <t>12 Allen Street</t>
  </si>
  <si>
    <t>EQDD5644</t>
  </si>
  <si>
    <t>Superlative Bikes</t>
  </si>
  <si>
    <t>NQRD6665</t>
  </si>
  <si>
    <t>Metro Sports Equipment</t>
  </si>
  <si>
    <t>JHLD7176</t>
  </si>
  <si>
    <t>Elite Bikes</t>
  </si>
  <si>
    <t>6 rue Alsace-Lorraine</t>
  </si>
  <si>
    <t>PAUL6241</t>
  </si>
  <si>
    <t>Commercial Sporting Goods</t>
  </si>
  <si>
    <t>CAND6549</t>
  </si>
  <si>
    <t>Local Hardware Factory</t>
  </si>
  <si>
    <t>1791 First Street</t>
  </si>
  <si>
    <t>IXID6661</t>
  </si>
  <si>
    <t>Initial Bike Company</t>
  </si>
  <si>
    <t>MLQD7470</t>
  </si>
  <si>
    <t>Futuristic Bikes</t>
  </si>
  <si>
    <t>C/ Moralzarzal, 92</t>
  </si>
  <si>
    <t>RJND6604</t>
  </si>
  <si>
    <t>Vigorous Sports Store</t>
  </si>
  <si>
    <t>7831 Douglas Av.</t>
  </si>
  <si>
    <t>YKKD5706</t>
  </si>
  <si>
    <t>Third Bike Store</t>
  </si>
  <si>
    <t>207 Miller Street</t>
  </si>
  <si>
    <t>NXCD6261</t>
  </si>
  <si>
    <t>Economy Bikes Company</t>
  </si>
  <si>
    <t>49 rue St. Laurent</t>
  </si>
  <si>
    <t>H1J 1C9</t>
  </si>
  <si>
    <t>LIVD8560</t>
  </si>
  <si>
    <t>Fabrikam Inc., West</t>
  </si>
  <si>
    <t>37 Duncan St. West End</t>
  </si>
  <si>
    <t>JMSD4704</t>
  </si>
  <si>
    <t>Optimal Bikes</t>
  </si>
  <si>
    <t>JMSP8180</t>
  </si>
  <si>
    <t>Certified Bicycle Supply</t>
  </si>
  <si>
    <t>9414 Furth Circle</t>
  </si>
  <si>
    <t>SXND8109</t>
  </si>
  <si>
    <t>Bicycle Merchandise Warehouse</t>
  </si>
  <si>
    <t>Torikatu 44</t>
  </si>
  <si>
    <t>MYHA5665</t>
  </si>
  <si>
    <t>Safe Cycles Shop</t>
  </si>
  <si>
    <t>40.67.8560</t>
  </si>
  <si>
    <t>JUJA7582</t>
  </si>
  <si>
    <t>General Industries</t>
  </si>
  <si>
    <t>STWA6759</t>
  </si>
  <si>
    <t>The Bicycle Accessories Company</t>
  </si>
  <si>
    <t>(171) 555-2287</t>
  </si>
  <si>
    <t>MOXA8679</t>
  </si>
  <si>
    <t>Grand Bicycle Stores</t>
  </si>
  <si>
    <t>(91) 555 94 49</t>
  </si>
  <si>
    <t>OKHA7405</t>
  </si>
  <si>
    <t>Nice Bikes</t>
  </si>
  <si>
    <t>HXFA5616</t>
  </si>
  <si>
    <t>Work and Play Association</t>
  </si>
  <si>
    <t>AMLL5579</t>
  </si>
  <si>
    <t>Principal Bike Company</t>
  </si>
  <si>
    <t>(514) 555-8059</t>
  </si>
  <si>
    <t>VYKA6771</t>
  </si>
  <si>
    <t>Tachometers and Accessories</t>
  </si>
  <si>
    <t>61-7-3844-6560</t>
  </si>
  <si>
    <t>JTNA6130</t>
  </si>
  <si>
    <t>World of Bikes</t>
  </si>
  <si>
    <t>(1) 47.55.6560</t>
  </si>
  <si>
    <t>MWCA6269</t>
  </si>
  <si>
    <t>Nearby Cycle Shop</t>
  </si>
  <si>
    <t>MJXA6550</t>
  </si>
  <si>
    <t>Exercise Center</t>
  </si>
  <si>
    <t>981-443660</t>
  </si>
  <si>
    <t>SLJB6311</t>
  </si>
  <si>
    <t>Fad Outlet</t>
  </si>
  <si>
    <t>+33 1 46 62 7560</t>
  </si>
  <si>
    <t>PBXB6061</t>
  </si>
  <si>
    <t>Beneficial Exercises and Activities</t>
  </si>
  <si>
    <t>JQAB5535</t>
  </si>
  <si>
    <t>Online Bike Sellers</t>
  </si>
  <si>
    <t>MCEB7247</t>
  </si>
  <si>
    <t>Bikes for Two</t>
  </si>
  <si>
    <t>+358 9 8045 560</t>
  </si>
  <si>
    <t>SLFB8541</t>
  </si>
  <si>
    <t>Retail Sporting Equipment</t>
  </si>
  <si>
    <t>0695-34 6560</t>
  </si>
  <si>
    <t>TBJB6451</t>
  </si>
  <si>
    <t>Active Life Toys</t>
  </si>
  <si>
    <t>6562-9560</t>
  </si>
  <si>
    <t>ANTB6720</t>
  </si>
  <si>
    <t>Summer Sports Place</t>
  </si>
  <si>
    <t>MIVB7139</t>
  </si>
  <si>
    <t>Retail Cycle Shop</t>
  </si>
  <si>
    <t>GLFB8136</t>
  </si>
  <si>
    <t>Getaway Inn</t>
  </si>
  <si>
    <t>+81 3 3584 0560</t>
  </si>
  <si>
    <t>ISKB7127</t>
  </si>
  <si>
    <t>Bicycle Accessories and Kits</t>
  </si>
  <si>
    <t>JQDB8365</t>
  </si>
  <si>
    <t>Cash &amp; Carry Bikes</t>
  </si>
  <si>
    <t>90-224 8560</t>
  </si>
  <si>
    <t>MRTB6170</t>
  </si>
  <si>
    <t>Extraordinary Bike Works</t>
  </si>
  <si>
    <t>88.60.1560</t>
  </si>
  <si>
    <t>JFIB7357</t>
  </si>
  <si>
    <t>Valley Toy Store</t>
  </si>
  <si>
    <t>PQWB6382</t>
  </si>
  <si>
    <t>Racing Sales and Service</t>
  </si>
  <si>
    <t>36 12 3555</t>
  </si>
  <si>
    <t>ERUB5339</t>
  </si>
  <si>
    <t>Metropolitan Bicycle Supply</t>
  </si>
  <si>
    <t>NYSB7211</t>
  </si>
  <si>
    <t>Remote Bicycle Specialists</t>
  </si>
  <si>
    <t>CESB5077</t>
  </si>
  <si>
    <t>Community Department Stores</t>
  </si>
  <si>
    <t>26.47.1560</t>
  </si>
  <si>
    <t>RYGB6749</t>
  </si>
  <si>
    <t>One Bike Company</t>
  </si>
  <si>
    <t>0522-556560</t>
  </si>
  <si>
    <t>MROB4448</t>
  </si>
  <si>
    <t>Our Sporting Goods Store</t>
  </si>
  <si>
    <t>+61 2 9495 8560</t>
  </si>
  <si>
    <t>EUUB6676</t>
  </si>
  <si>
    <t>Good Toys</t>
  </si>
  <si>
    <t>(071) 23 67 2560</t>
  </si>
  <si>
    <t>OTHB8407</t>
  </si>
  <si>
    <t>Famous Bike Shop</t>
  </si>
  <si>
    <t>GSCB5069</t>
  </si>
  <si>
    <t>Recreation Systems</t>
  </si>
  <si>
    <t>GYPB5630</t>
  </si>
  <si>
    <t>Reliable Retail Center</t>
  </si>
  <si>
    <t>(02) 5554 72</t>
  </si>
  <si>
    <t>RXXB7140</t>
  </si>
  <si>
    <t>Convenient Sales and Service</t>
  </si>
  <si>
    <t>7675-3560</t>
  </si>
  <si>
    <t>CKCB8581</t>
  </si>
  <si>
    <t>Sports Products Store</t>
  </si>
  <si>
    <t>61-9-3844-6560</t>
  </si>
  <si>
    <t>AJDB8751</t>
  </si>
  <si>
    <t>Retread Tire Company</t>
  </si>
  <si>
    <t>MISB6165</t>
  </si>
  <si>
    <t>Selected Distributors</t>
  </si>
  <si>
    <t>91.24.4560</t>
  </si>
  <si>
    <t>OKVB8652</t>
  </si>
  <si>
    <t>Online Bike Warehouse</t>
  </si>
  <si>
    <t>61.77.6560</t>
  </si>
  <si>
    <t>PMFB7438</t>
  </si>
  <si>
    <t>Authentic Sales and Service</t>
  </si>
  <si>
    <t>JANB6269</t>
  </si>
  <si>
    <t>Family Cycle Store</t>
  </si>
  <si>
    <t>FJOB6075</t>
  </si>
  <si>
    <t>Successful Sales Company</t>
  </si>
  <si>
    <t>GDMB5039</t>
  </si>
  <si>
    <t>Responsible Bike Dealers</t>
  </si>
  <si>
    <t>GTAB6415</t>
  </si>
  <si>
    <t>Pedals Warehouse</t>
  </si>
  <si>
    <t>CGIB8637</t>
  </si>
  <si>
    <t>Road-Way Mart</t>
  </si>
  <si>
    <t>GBCB6759</t>
  </si>
  <si>
    <t>Retail Sporting Goods</t>
  </si>
  <si>
    <t>MPNB8138</t>
  </si>
  <si>
    <t>Countryside Company</t>
  </si>
  <si>
    <t>MCAB7012</t>
  </si>
  <si>
    <t>Tandem Bicycle Store</t>
  </si>
  <si>
    <t>MRVC6706</t>
  </si>
  <si>
    <t>City Manufacturing</t>
  </si>
  <si>
    <t>CRSC7612</t>
  </si>
  <si>
    <t>Mountain Emporium</t>
  </si>
  <si>
    <t>CPQC8261</t>
  </si>
  <si>
    <t>Valley Bicycle Distributors</t>
  </si>
  <si>
    <t>33 rue du Colonel Pierre Avia</t>
  </si>
  <si>
    <t>VLQC5340</t>
  </si>
  <si>
    <t>Seats and Saddles Company</t>
  </si>
  <si>
    <t>3092 Ingle Ln.</t>
  </si>
  <si>
    <t>JMSC6377</t>
  </si>
  <si>
    <t>Racing Bike Outlet</t>
  </si>
  <si>
    <t>8622 Spinnaker Dr.</t>
  </si>
  <si>
    <t>PMKC7409</t>
  </si>
  <si>
    <t>Gear-Shift Bikes Limited</t>
  </si>
  <si>
    <t>FIN-02277</t>
  </si>
  <si>
    <t>CSPC8229</t>
  </si>
  <si>
    <t>Kickstand Sellers</t>
  </si>
  <si>
    <t>?kergatan 30</t>
  </si>
  <si>
    <t>S-844 73</t>
  </si>
  <si>
    <t>LIJC8651</t>
  </si>
  <si>
    <t>Road Way Sales and Rental</t>
  </si>
  <si>
    <t>Geislweg 20</t>
  </si>
  <si>
    <t>TIVC7646</t>
  </si>
  <si>
    <t>The Commissary</t>
  </si>
  <si>
    <t>5683 Strong St.</t>
  </si>
  <si>
    <t>JTDC5257</t>
  </si>
  <si>
    <t>Valley Bicycle Specialists</t>
  </si>
  <si>
    <t>25599 South Bay Ln.</t>
  </si>
  <si>
    <t>NGEC6539</t>
  </si>
  <si>
    <t>Sports Store</t>
  </si>
  <si>
    <t>106-0038</t>
  </si>
  <si>
    <t>VVJC6068</t>
  </si>
  <si>
    <t>Active Cycling</t>
  </si>
  <si>
    <t>4103 Douglas Av.</t>
  </si>
  <si>
    <t>LKBC8735</t>
  </si>
  <si>
    <t>Future Bikes</t>
  </si>
  <si>
    <t>Keskuskatu 51</t>
  </si>
  <si>
    <t>CQCC6725</t>
  </si>
  <si>
    <t>General Riding Supplies</t>
  </si>
  <si>
    <t>GADC8342</t>
  </si>
  <si>
    <t>Black Bicycle Company</t>
  </si>
  <si>
    <t>4581 Hillside Dr.</t>
  </si>
  <si>
    <t>CXGC7715</t>
  </si>
  <si>
    <t>Major Sporting Goods</t>
  </si>
  <si>
    <t>Vinb'ltet 40</t>
  </si>
  <si>
    <t>MOMC7019</t>
  </si>
  <si>
    <t>Extras Sporting Goods</t>
  </si>
  <si>
    <t>7592 Pompton St.</t>
  </si>
  <si>
    <t>PTLC8567</t>
  </si>
  <si>
    <t>Center Cycle Shop</t>
  </si>
  <si>
    <t>MYSC6160</t>
  </si>
  <si>
    <t>Imported and Domestic Cycles</t>
  </si>
  <si>
    <t>65 rue de l'Abbaye</t>
  </si>
  <si>
    <t>DYGC7026</t>
  </si>
  <si>
    <t>Recreation Supplies</t>
  </si>
  <si>
    <t>Strada Provinciale 130</t>
  </si>
  <si>
    <t>MVOC5025</t>
  </si>
  <si>
    <t>Friendly Neighborhood Bikes</t>
  </si>
  <si>
    <t>NRAC8568</t>
  </si>
  <si>
    <t>Cycles Wholesaler &amp; Mfg.</t>
  </si>
  <si>
    <t>Boulevard Tirou, 261</t>
  </si>
  <si>
    <t>B-6006</t>
  </si>
  <si>
    <t>MVNC7637</t>
  </si>
  <si>
    <t>Bicycle Exporters</t>
  </si>
  <si>
    <t>CYVC6778</t>
  </si>
  <si>
    <t>Rural Department Store</t>
  </si>
  <si>
    <t>7482 Moss Rd.</t>
  </si>
  <si>
    <t>RJTD6546</t>
  </si>
  <si>
    <t>Vintage Sport Boutique</t>
  </si>
  <si>
    <t>Rue Joseph-Bens 538</t>
  </si>
  <si>
    <t>B-1186</t>
  </si>
  <si>
    <t>MVOD7622</t>
  </si>
  <si>
    <t>Machines &amp; Cycles Store</t>
  </si>
  <si>
    <t>Kirchgasse 12</t>
  </si>
  <si>
    <t>VDJD8320</t>
  </si>
  <si>
    <t>First Supplies</t>
  </si>
  <si>
    <t>13 Allen Street</t>
  </si>
  <si>
    <t>EQDD5645</t>
  </si>
  <si>
    <t>Plastic Products Manufacturers</t>
  </si>
  <si>
    <t>NQRD6666</t>
  </si>
  <si>
    <t>Weekend Bike Tours</t>
  </si>
  <si>
    <t>JHLD7177</t>
  </si>
  <si>
    <t>Exhibition Showroom</t>
  </si>
  <si>
    <t>7 rue Alsace-Lorraine</t>
  </si>
  <si>
    <t>PAUL6242</t>
  </si>
  <si>
    <t>Rally Master Company Inc</t>
  </si>
  <si>
    <t>CAND6550</t>
  </si>
  <si>
    <t>Best o' Bikes</t>
  </si>
  <si>
    <t>1792 First Street</t>
  </si>
  <si>
    <t>IXID6662</t>
  </si>
  <si>
    <t>Helmets and Cycles</t>
  </si>
  <si>
    <t>MLQD7471</t>
  </si>
  <si>
    <t>Exceptional Cycle Services</t>
  </si>
  <si>
    <t>C/ Moralzarzal, 93</t>
  </si>
  <si>
    <t>RJND6605</t>
  </si>
  <si>
    <t>Vale Riding Supplies</t>
  </si>
  <si>
    <t>7832 Douglas Av.</t>
  </si>
  <si>
    <t>YKKD5707</t>
  </si>
  <si>
    <t>Outdoor Sporting Goods</t>
  </si>
  <si>
    <t>208 Miller Street</t>
  </si>
  <si>
    <t>NXCD6262</t>
  </si>
  <si>
    <t>Best Cycle Store</t>
  </si>
  <si>
    <t>50 rue St. Laurent</t>
  </si>
  <si>
    <t>H1J 1C10</t>
  </si>
  <si>
    <t>LIVD8561</t>
  </si>
  <si>
    <t>Professional Sporting Goods</t>
  </si>
  <si>
    <t>38 Duncan St. West End</t>
  </si>
  <si>
    <t>JMSD4705</t>
  </si>
  <si>
    <t>Amalgamated Parts Shop</t>
  </si>
  <si>
    <t>JMSP8181</t>
  </si>
  <si>
    <t>Technical Parts Manufacturing</t>
  </si>
  <si>
    <t>9415 Furth Circle</t>
  </si>
  <si>
    <t>SXND8110</t>
  </si>
  <si>
    <t>Primary Cycle Shop</t>
  </si>
  <si>
    <t>Torikatu 45</t>
  </si>
  <si>
    <t>MYHA5666</t>
  </si>
  <si>
    <t>Fitness Cycling</t>
  </si>
  <si>
    <t>40.67.8561</t>
  </si>
  <si>
    <t>JUJA7583</t>
  </si>
  <si>
    <t>Unusual Bicycle Company</t>
  </si>
  <si>
    <t>STWA6760</t>
  </si>
  <si>
    <t>Roadway Bike Emporium</t>
  </si>
  <si>
    <t>(171) 555-2288</t>
  </si>
  <si>
    <t>MOXA8680</t>
  </si>
  <si>
    <t>Fabrikam Inc., East</t>
  </si>
  <si>
    <t>(91) 555 94 50</t>
  </si>
  <si>
    <t>OKHA7406</t>
  </si>
  <si>
    <t>Honest Repair Service</t>
  </si>
  <si>
    <t>HXFA5617</t>
  </si>
  <si>
    <t>Major Sport Suppliers</t>
  </si>
  <si>
    <t>AMLL5580</t>
  </si>
  <si>
    <t>Versatile Sporting Goods Company</t>
  </si>
  <si>
    <t>(514) 555-8060</t>
  </si>
  <si>
    <t>VYKA6772</t>
  </si>
  <si>
    <t>Lustrous Paints and Components</t>
  </si>
  <si>
    <t>61-7-3844-6561</t>
  </si>
  <si>
    <t>JTNA6131</t>
  </si>
  <si>
    <t>Fitness Discount Store</t>
  </si>
  <si>
    <t>(1) 47.55.6561</t>
  </si>
  <si>
    <t>MWCA6270</t>
  </si>
  <si>
    <t>All Seasons Sports Supply</t>
  </si>
  <si>
    <t>MJXA6551</t>
  </si>
  <si>
    <t>Westside Plaza</t>
  </si>
  <si>
    <t>981-443661</t>
  </si>
  <si>
    <t>SLJB6312</t>
  </si>
  <si>
    <t>Sensible Sports</t>
  </si>
  <si>
    <t>+33 1 46 62 7561</t>
  </si>
  <si>
    <t>PBXB6062</t>
  </si>
  <si>
    <t>Producer Goods Clearinghouse</t>
  </si>
  <si>
    <t>JQAB5536</t>
  </si>
  <si>
    <t>Eastside Cycle Shop</t>
  </si>
  <si>
    <t>MCEB7248</t>
  </si>
  <si>
    <t>Mountain Bike Store</t>
  </si>
  <si>
    <t>+358 9 8045 561</t>
  </si>
  <si>
    <t>SLFB8542</t>
  </si>
  <si>
    <t>Exemplary Cycles</t>
  </si>
  <si>
    <t>0695-34 6561</t>
  </si>
  <si>
    <t>TBJB6452</t>
  </si>
  <si>
    <t>Commuter Bicycle Store</t>
  </si>
  <si>
    <t>6562-9561</t>
  </si>
  <si>
    <t>ANTB6721</t>
  </si>
  <si>
    <t>Wheels Inc.</t>
  </si>
  <si>
    <t>MIVB7140</t>
  </si>
  <si>
    <t>Metal Clearing House</t>
  </si>
  <si>
    <t>GLFB8137</t>
  </si>
  <si>
    <t>North Bike Company</t>
  </si>
  <si>
    <t>+81 3 3584 0561</t>
  </si>
  <si>
    <t>ISKB7128</t>
  </si>
  <si>
    <t>Outdoor Aerobic Systems Company</t>
  </si>
  <si>
    <t>JQDB8366</t>
  </si>
  <si>
    <t>Racks and Security Systems</t>
  </si>
  <si>
    <t>90-224 8561</t>
  </si>
  <si>
    <t>MRTB6171</t>
  </si>
  <si>
    <t>Roadway Bicycle Supply</t>
  </si>
  <si>
    <t>88.60.1561</t>
  </si>
  <si>
    <t>JFIB7358</t>
  </si>
  <si>
    <t>Rich Department Store</t>
  </si>
  <si>
    <t>PQWB6383</t>
  </si>
  <si>
    <t>Up-To-Date Sports</t>
  </si>
  <si>
    <t>37 12 3555</t>
  </si>
  <si>
    <t>ERUB5340</t>
  </si>
  <si>
    <t>The Bike Outlet</t>
  </si>
  <si>
    <t>NYSB7212</t>
  </si>
  <si>
    <t>Eighth Bike Store</t>
  </si>
  <si>
    <t>CESB5078</t>
  </si>
  <si>
    <t>Budget Bike Company</t>
  </si>
  <si>
    <t>26.47.1561</t>
  </si>
  <si>
    <t>RYGB6750</t>
  </si>
  <si>
    <t>South Bike Company</t>
  </si>
  <si>
    <t>0522-556561</t>
  </si>
  <si>
    <t>MROB4449</t>
  </si>
  <si>
    <t>Rental Gallery</t>
  </si>
  <si>
    <t>+61 2 9495 8561</t>
  </si>
  <si>
    <t>EUUB6677</t>
  </si>
  <si>
    <t>Uncompromising Quality Co</t>
  </si>
  <si>
    <t>(071) 23 67 2561</t>
  </si>
  <si>
    <t>OTHB8408</t>
  </si>
  <si>
    <t>Rampart Amusement Company</t>
  </si>
  <si>
    <t>GSCB5070</t>
  </si>
  <si>
    <t>Family Entertainment Center</t>
  </si>
  <si>
    <t>GYPB5631</t>
  </si>
  <si>
    <t>Perfect Toys</t>
  </si>
  <si>
    <t>(02) 5554 73</t>
  </si>
  <si>
    <t>RXXB7141</t>
  </si>
  <si>
    <t>Authorized Bike Sales and Rental</t>
  </si>
  <si>
    <t>7675-3561</t>
  </si>
  <si>
    <t>CKCB8582</t>
  </si>
  <si>
    <t>Fast Bike Works</t>
  </si>
  <si>
    <t>61-9-3844-6561</t>
  </si>
  <si>
    <t>AJDB8752</t>
  </si>
  <si>
    <t>Global Bike Retailers</t>
  </si>
  <si>
    <t>MISB6166</t>
  </si>
  <si>
    <t>Express Bike Services</t>
  </si>
  <si>
    <t>91.24.4561</t>
  </si>
  <si>
    <t>OKVB8653</t>
  </si>
  <si>
    <t>Endurance Bikes</t>
  </si>
  <si>
    <t>61.77.6561</t>
  </si>
  <si>
    <t>PMFB7439</t>
  </si>
  <si>
    <t>Industrial Supplies</t>
  </si>
  <si>
    <t>JANB6270</t>
  </si>
  <si>
    <t>Farthest Bike Store</t>
  </si>
  <si>
    <t>FJOB6076</t>
  </si>
  <si>
    <t>Fasteners &amp; Bolts Outlet</t>
  </si>
  <si>
    <t>GDMB5040</t>
  </si>
  <si>
    <t>Excellent Bikes</t>
  </si>
  <si>
    <t>GTAB6416</t>
  </si>
  <si>
    <t>Racing Supply Distributors</t>
  </si>
  <si>
    <t>CGIB8638</t>
  </si>
  <si>
    <t>Riding Associates</t>
  </si>
  <si>
    <t>GBCB6760</t>
  </si>
  <si>
    <t>Low Price Cycles</t>
  </si>
  <si>
    <t>MPNB8139</t>
  </si>
  <si>
    <t>Second Bike Shop</t>
  </si>
  <si>
    <t>MCAB7013</t>
  </si>
  <si>
    <t>Major Bicycle Store</t>
  </si>
  <si>
    <t>MRVC6707</t>
  </si>
  <si>
    <t>Quality Bike Sales</t>
  </si>
  <si>
    <t>CRSC7613</t>
  </si>
  <si>
    <t>Mail Market</t>
  </si>
  <si>
    <t>CPQC8262</t>
  </si>
  <si>
    <t>Novelty Bikes</t>
  </si>
  <si>
    <t>34 rue du Colonel Pierre Avia</t>
  </si>
  <si>
    <t>VLQC5341</t>
  </si>
  <si>
    <t>Fitness Supplies</t>
  </si>
  <si>
    <t>3093 Ingle Ln.</t>
  </si>
  <si>
    <t>JMSC6378</t>
  </si>
  <si>
    <t>Immense Manufacturing Company</t>
  </si>
  <si>
    <t>8623 Spinnaker Dr.</t>
  </si>
  <si>
    <t>PMKC7410</t>
  </si>
  <si>
    <t>Grown-up Bike Store</t>
  </si>
  <si>
    <t>FIN-02278</t>
  </si>
  <si>
    <t>CSPC8230</t>
  </si>
  <si>
    <t>Pretty Bikes and Toys</t>
  </si>
  <si>
    <t>?kergatan 31</t>
  </si>
  <si>
    <t>S-844 74</t>
  </si>
  <si>
    <t>LIJC8652</t>
  </si>
  <si>
    <t>Gears and Parts Company</t>
  </si>
  <si>
    <t>Geislweg 21</t>
  </si>
  <si>
    <t>TIVC7647</t>
  </si>
  <si>
    <t>Big Cycle Mall</t>
  </si>
  <si>
    <t>5684 Strong St.</t>
  </si>
  <si>
    <t>JTDC5258</t>
  </si>
  <si>
    <t>Pedaling Components</t>
  </si>
  <si>
    <t>25600 South Bay Ln.</t>
  </si>
  <si>
    <t>NGEC6540</t>
  </si>
  <si>
    <t>Kids and Adults Cycle Shop</t>
  </si>
  <si>
    <t>106-0039</t>
  </si>
  <si>
    <t>VVJC6069</t>
  </si>
  <si>
    <t>Atypical Bike Company</t>
  </si>
  <si>
    <t>4104 Douglas Av.</t>
  </si>
  <si>
    <t>LKBC8736</t>
  </si>
  <si>
    <t>Leading Bike Distributors</t>
  </si>
  <si>
    <t>Keskuskatu 52</t>
  </si>
  <si>
    <t>CQCC6726</t>
  </si>
  <si>
    <t>Fitness Toys</t>
  </si>
  <si>
    <t>GADC8343</t>
  </si>
  <si>
    <t>Small Bike Accessories Shop</t>
  </si>
  <si>
    <t>4582 Hillside Dr.</t>
  </si>
  <si>
    <t>CXGC7716</t>
  </si>
  <si>
    <t>List Price Catalog Company</t>
  </si>
  <si>
    <t>Vinb'ltet 41</t>
  </si>
  <si>
    <t>MOMC7020</t>
  </si>
  <si>
    <t>Metro Metals Co.</t>
  </si>
  <si>
    <t>7593 Pompton St.</t>
  </si>
  <si>
    <t>PTLC8568</t>
  </si>
  <si>
    <t>Mobile Outlet</t>
  </si>
  <si>
    <t>MYSC6161</t>
  </si>
  <si>
    <t>Consolidated Messenger</t>
  </si>
  <si>
    <t>66 rue de l'Abbaye</t>
  </si>
  <si>
    <t>DYGC7027</t>
  </si>
  <si>
    <t>Top of the Line Bikes</t>
  </si>
  <si>
    <t>Strada Provinciale 131</t>
  </si>
  <si>
    <t>MVOC5026</t>
  </si>
  <si>
    <t>Variety Cycling</t>
  </si>
  <si>
    <t>NRAC8569</t>
  </si>
  <si>
    <t>Systematic Sales</t>
  </si>
  <si>
    <t>Boulevard Tirou, 262</t>
  </si>
  <si>
    <t>B-6007</t>
  </si>
  <si>
    <t>MVNC7638</t>
  </si>
  <si>
    <t>Outstanding Cycles</t>
  </si>
  <si>
    <t>CYVC6779</t>
  </si>
  <si>
    <t>Little Bicycle Supply Shop</t>
  </si>
  <si>
    <t>7483 Moss Rd.</t>
  </si>
  <si>
    <t>RJTD6547</t>
  </si>
  <si>
    <t>Maintenance and Repair for Bicycles</t>
  </si>
  <si>
    <t>Rue Joseph-Bens 539</t>
  </si>
  <si>
    <t>B-1187</t>
  </si>
  <si>
    <t>MVOD7623</t>
  </si>
  <si>
    <t>Fitness Department Stores</t>
  </si>
  <si>
    <t>Kirchgasse 13</t>
  </si>
  <si>
    <t>VDJD8321</t>
  </si>
  <si>
    <t>Favorite Toy Distributor</t>
  </si>
  <si>
    <t>14 Allen Street</t>
  </si>
  <si>
    <t>EQDD5646</t>
  </si>
  <si>
    <t>Fast Services</t>
  </si>
  <si>
    <t>NQRD6667</t>
  </si>
  <si>
    <t>Tubeless Tire Company</t>
  </si>
  <si>
    <t>JHLD7178</t>
  </si>
  <si>
    <t>Efficient Cycling</t>
  </si>
  <si>
    <t>8 rue Alsace-Lorraine</t>
  </si>
  <si>
    <t>PAUL6243</t>
  </si>
  <si>
    <t>Ultimate Bicycle Company</t>
  </si>
  <si>
    <t>CAND6551</t>
  </si>
  <si>
    <t>Impervious Paint Company</t>
  </si>
  <si>
    <t>1793 First Street</t>
  </si>
  <si>
    <t>IXID6663</t>
  </si>
  <si>
    <t>Finer Sporting Goods</t>
  </si>
  <si>
    <t>MLQD7472</t>
  </si>
  <si>
    <t>Capital Riding Supplies</t>
  </si>
  <si>
    <t>C/ Moralzarzal, 94</t>
  </si>
  <si>
    <t>RJND6606</t>
  </si>
  <si>
    <t>Racing Tours</t>
  </si>
  <si>
    <t>7833 Douglas Av.</t>
  </si>
  <si>
    <t>YKKD5708</t>
  </si>
  <si>
    <t>Showcase for Cycles</t>
  </si>
  <si>
    <t>209 Miller Street</t>
  </si>
  <si>
    <t>NXCD6263</t>
  </si>
  <si>
    <t>Functional Store South</t>
  </si>
  <si>
    <t>51 rue St. Laurent</t>
  </si>
  <si>
    <t>H1J 1C11</t>
  </si>
  <si>
    <t>LIVD8562</t>
  </si>
  <si>
    <t>Stock Parts and Supplies</t>
  </si>
  <si>
    <t>39 Duncan St. West End</t>
  </si>
  <si>
    <t>JMSD4706</t>
  </si>
  <si>
    <t>Underglaze and Finish Company</t>
  </si>
  <si>
    <t>JMSP8182</t>
  </si>
  <si>
    <t>Aerobic Exercise Company</t>
  </si>
  <si>
    <t>9416 Furth Circle</t>
  </si>
  <si>
    <t>SXND8111</t>
  </si>
  <si>
    <t>Bicycle Warehouse Inc.</t>
  </si>
  <si>
    <t>Torikatu 46</t>
  </si>
  <si>
    <t>MYHA5667</t>
  </si>
  <si>
    <t>Budget Toy Store</t>
  </si>
  <si>
    <t>40.67.8562</t>
  </si>
  <si>
    <t>JUJA7584</t>
  </si>
  <si>
    <t>Global Sports Outlet</t>
  </si>
  <si>
    <t>STWA6761</t>
  </si>
  <si>
    <t>Finer Mart</t>
  </si>
  <si>
    <t>(171) 555-2289</t>
  </si>
  <si>
    <t>MOXA8681</t>
  </si>
  <si>
    <t>Games and Sport Supply Company</t>
  </si>
  <si>
    <t>(91) 555 94 51</t>
  </si>
  <si>
    <t>OKHA7407</t>
  </si>
  <si>
    <t>Grand Industries</t>
  </si>
  <si>
    <t>HXFA5618</t>
  </si>
  <si>
    <t>Neighborhood Bicycle Storehouse</t>
  </si>
  <si>
    <t>AMLL5581</t>
  </si>
  <si>
    <t>Ideal Components</t>
  </si>
  <si>
    <t>(514) 555-8061</t>
  </si>
  <si>
    <t>VYKA6773</t>
  </si>
  <si>
    <t>Instruments and Parts Company</t>
  </si>
  <si>
    <t>61-7-3844-6562</t>
  </si>
  <si>
    <t>JTNA6132</t>
  </si>
  <si>
    <t>Incomparable Bicycle Store</t>
  </si>
  <si>
    <t>(1) 47.55.6562</t>
  </si>
  <si>
    <t>MWCA6271</t>
  </si>
  <si>
    <t>Kickstands and Accessories Company</t>
  </si>
  <si>
    <t>MJXA6552</t>
  </si>
  <si>
    <t>Locks Company</t>
  </si>
  <si>
    <t>981-443662</t>
  </si>
  <si>
    <t>SLJB6313</t>
  </si>
  <si>
    <t>Online Bike Catalog</t>
  </si>
  <si>
    <t>+33 1 46 62 7562</t>
  </si>
  <si>
    <t>PBXB6063</t>
  </si>
  <si>
    <t>Closest Bicycle Store</t>
  </si>
  <si>
    <t>JQAB5537</t>
  </si>
  <si>
    <t>Very Best Sports Supply</t>
  </si>
  <si>
    <t>MCEB7249</t>
  </si>
  <si>
    <t>West Side Mart</t>
  </si>
  <si>
    <t>+358 9 8045 562</t>
  </si>
  <si>
    <t>SLFB8543</t>
  </si>
  <si>
    <t>Travel Sports</t>
  </si>
  <si>
    <t>0695-34 6562</t>
  </si>
  <si>
    <t>TBJB6453</t>
  </si>
  <si>
    <t>Town Industries</t>
  </si>
  <si>
    <t>6562-9562</t>
  </si>
  <si>
    <t>ANTB6722</t>
  </si>
  <si>
    <t>Trendy Department Stores</t>
  </si>
  <si>
    <t>MIVB7141</t>
  </si>
  <si>
    <t>Off-Price Bike Center</t>
  </si>
  <si>
    <t>GLFB8138</t>
  </si>
  <si>
    <t>Riding Cycles</t>
  </si>
  <si>
    <t>+81 3 3584 0562</t>
  </si>
  <si>
    <t>ISKB7129</t>
  </si>
  <si>
    <t>Camping and Sports Store</t>
  </si>
  <si>
    <t>JQDB8367</t>
  </si>
  <si>
    <t>Sports Merchandise</t>
  </si>
  <si>
    <t>90-224 8562</t>
  </si>
  <si>
    <t>MRTB6172</t>
  </si>
  <si>
    <t>Eighty Toy Stores</t>
  </si>
  <si>
    <t>88.60.1562</t>
  </si>
  <si>
    <t>JFIB7359</t>
  </si>
  <si>
    <t>Rodeway Bike Store</t>
  </si>
  <si>
    <t>PQWB6384</t>
  </si>
  <si>
    <t>Fourth Bike Store</t>
  </si>
  <si>
    <t>38 12 3555</t>
  </si>
  <si>
    <t>ERUB5341</t>
  </si>
  <si>
    <t>Another Bicycle Company</t>
  </si>
  <si>
    <t>NYSB7213</t>
  </si>
  <si>
    <t>Thrilling Bike Tours</t>
  </si>
  <si>
    <t>CESB5079</t>
  </si>
  <si>
    <t>Racing Partners</t>
  </si>
  <si>
    <t>26.47.1562</t>
  </si>
  <si>
    <t>RYGB6751</t>
  </si>
  <si>
    <t>Inexpensive Parts Shop</t>
  </si>
  <si>
    <t>0522-556562</t>
  </si>
  <si>
    <t>MROB4450</t>
  </si>
  <si>
    <t>Unsurpassed Bikes</t>
  </si>
  <si>
    <t>+61 2 9495 8562</t>
  </si>
  <si>
    <t>EUUB6678</t>
  </si>
  <si>
    <t>Two-Seater Bikes</t>
  </si>
  <si>
    <t>(071) 23 67 2562</t>
  </si>
  <si>
    <t>OTHB8409</t>
  </si>
  <si>
    <t>Enterprise Center</t>
  </si>
  <si>
    <t>GSCB5071</t>
  </si>
  <si>
    <t>Paints and Solvents Company</t>
  </si>
  <si>
    <t>GYPB5632</t>
  </si>
  <si>
    <t>Home Town Bike Store</t>
  </si>
  <si>
    <t>(02) 5554 74</t>
  </si>
  <si>
    <t>RXXB7142</t>
  </si>
  <si>
    <t>Helpful Sales and Repair Service</t>
  </si>
  <si>
    <t>7675-3562</t>
  </si>
  <si>
    <t>CKCB8583</t>
  </si>
  <si>
    <t>Cycle Parts and Accessories</t>
  </si>
  <si>
    <t>61-9-3844-6562</t>
  </si>
  <si>
    <t>AJDB8753</t>
  </si>
  <si>
    <t>Channel Outlet</t>
  </si>
  <si>
    <t>MISB6167</t>
  </si>
  <si>
    <t>Thrifty Parts and Sales</t>
  </si>
  <si>
    <t>91.24.4562</t>
  </si>
  <si>
    <t>OKVB8654</t>
  </si>
  <si>
    <t>Petroleum Products Distributors</t>
  </si>
  <si>
    <t>61.77.6562</t>
  </si>
  <si>
    <t>PMFB7440</t>
  </si>
  <si>
    <t>Quick Parts and Service</t>
  </si>
  <si>
    <t>JANB6271</t>
  </si>
  <si>
    <t>Nearby Bike Mall</t>
  </si>
  <si>
    <t>FJOB6077</t>
  </si>
  <si>
    <t>Nearest Bike Store</t>
  </si>
  <si>
    <t>GDMB5041</t>
  </si>
  <si>
    <t>Engineered Bike Systems</t>
  </si>
  <si>
    <t>GTAB6417</t>
  </si>
  <si>
    <t>Blue-Ribbon Bike Company</t>
  </si>
  <si>
    <t>CGIB8639</t>
  </si>
  <si>
    <t>Seaside Bike Works</t>
  </si>
  <si>
    <t>GBCB6761</t>
  </si>
  <si>
    <t>Essential Bike Works</t>
  </si>
  <si>
    <t>MPNB8140</t>
  </si>
  <si>
    <t>Rugged Bikes</t>
  </si>
  <si>
    <t>MCAB7014</t>
  </si>
  <si>
    <t>Cycles Sales and Repair</t>
  </si>
  <si>
    <t>MRVC6708</t>
  </si>
  <si>
    <t>Rambling Tours</t>
  </si>
  <si>
    <t>CRSC7614</t>
  </si>
  <si>
    <t>Acclaimed Bicycle Company</t>
  </si>
  <si>
    <t>CPQC8263</t>
  </si>
  <si>
    <t>Top Bike Market</t>
  </si>
  <si>
    <t>35 rue du Colonel Pierre Avia</t>
  </si>
  <si>
    <t>VLQC5342</t>
  </si>
  <si>
    <t>Local Sales and Rental</t>
  </si>
  <si>
    <t>3094 Ingle Ln.</t>
  </si>
  <si>
    <t>JMSC6379</t>
  </si>
  <si>
    <t>Workout Emporium</t>
  </si>
  <si>
    <t>8624 Spinnaker Dr.</t>
  </si>
  <si>
    <t>PMKC7411</t>
  </si>
  <si>
    <t>Odometers and Accessories Company</t>
  </si>
  <si>
    <t>FIN-02279</t>
  </si>
  <si>
    <t>CSPC8231</t>
  </si>
  <si>
    <t>Extreme Riding Supplies</t>
  </si>
  <si>
    <t>?kergatan 32</t>
  </si>
  <si>
    <t>S-844 75</t>
  </si>
  <si>
    <t>LIJC8653</t>
  </si>
  <si>
    <t>West Wind Distributors</t>
  </si>
  <si>
    <t>Geislweg 22</t>
  </si>
  <si>
    <t>TIVC7648</t>
  </si>
  <si>
    <t>Courteous Bicycle Specialists</t>
  </si>
  <si>
    <t>5685 Strong St.</t>
  </si>
  <si>
    <t>JTDC5259</t>
  </si>
  <si>
    <t>First Center</t>
  </si>
  <si>
    <t>25601 South Bay Ln.</t>
  </si>
  <si>
    <t>NGEC6541</t>
  </si>
  <si>
    <t>Action Bicycle Specialists</t>
  </si>
  <si>
    <t>106-0040</t>
  </si>
  <si>
    <t>VVJC6070</t>
  </si>
  <si>
    <t>Sleek Bikes</t>
  </si>
  <si>
    <t>4105 Douglas Av.</t>
  </si>
  <si>
    <t>LKBC8737</t>
  </si>
  <si>
    <t>Educational Services</t>
  </si>
  <si>
    <t>Keskuskatu 53</t>
  </si>
  <si>
    <t>CQCC6727</t>
  </si>
  <si>
    <t>Central Bicycle Specialists</t>
  </si>
  <si>
    <t>GADC8344</t>
  </si>
  <si>
    <t>Wingtip Toys</t>
  </si>
  <si>
    <t>4583 Hillside Dr.</t>
  </si>
  <si>
    <t>CXGC7717</t>
  </si>
  <si>
    <t>Quitting Business Distributors</t>
  </si>
  <si>
    <t>Vinb'ltet 42</t>
  </si>
  <si>
    <t>MOMC7021</t>
  </si>
  <si>
    <t>Fitness Bike Accessories</t>
  </si>
  <si>
    <t>7594 Pompton St.</t>
  </si>
  <si>
    <t>PTLC8569</t>
  </si>
  <si>
    <t>Fun Toys and Bikes</t>
  </si>
  <si>
    <t>MYSC6162</t>
  </si>
  <si>
    <t>Next Door Cycles</t>
  </si>
  <si>
    <t>67 rue de l'Abbaye</t>
  </si>
  <si>
    <t>DYGC7028</t>
  </si>
  <si>
    <t>Glossy Bikes</t>
  </si>
  <si>
    <t>Strada Provinciale 132</t>
  </si>
  <si>
    <t>MVOC5027</t>
  </si>
  <si>
    <t>Accessories Network</t>
  </si>
  <si>
    <t>NRAC8570</t>
  </si>
  <si>
    <t>Twin Cycles</t>
  </si>
  <si>
    <t>Boulevard Tirou, 263</t>
  </si>
  <si>
    <t>B-6008</t>
  </si>
  <si>
    <t>MVNC7639</t>
  </si>
  <si>
    <t>Purchase Mart</t>
  </si>
  <si>
    <t>CYVC6780</t>
  </si>
  <si>
    <t>Nationwide Supply</t>
  </si>
  <si>
    <t>7484 Moss Rd.</t>
  </si>
  <si>
    <t>RJTD6548</t>
  </si>
  <si>
    <t>Professional Sales and Service</t>
  </si>
  <si>
    <t>Rue Joseph-Bens 540</t>
  </si>
  <si>
    <t>B-1188</t>
  </si>
  <si>
    <t>MVOD7624</t>
  </si>
  <si>
    <t>Cycle Clearance</t>
  </si>
  <si>
    <t>Kirchgasse 14</t>
  </si>
  <si>
    <t>VDJD8322</t>
  </si>
  <si>
    <t>Transport Bikes</t>
  </si>
  <si>
    <t>15 Allen Street</t>
  </si>
  <si>
    <t>EQDD5647</t>
  </si>
  <si>
    <t>Sellers of Cycles</t>
  </si>
  <si>
    <t>NQRD6668</t>
  </si>
  <si>
    <t>Front Runner Bikes</t>
  </si>
  <si>
    <t>JHLD7179</t>
  </si>
  <si>
    <t>Eastward Bike Accessories</t>
  </si>
  <si>
    <t>9 rue Alsace-Lorraine</t>
  </si>
  <si>
    <t>PAUL6244</t>
  </si>
  <si>
    <t>Running and Cycling Gear</t>
  </si>
  <si>
    <t>CAND6552</t>
  </si>
  <si>
    <t>Exchange Parts Inc.</t>
  </si>
  <si>
    <t>1794 First Street</t>
  </si>
  <si>
    <t>IXID6664</t>
  </si>
  <si>
    <t>Eastside Parts Shop</t>
  </si>
  <si>
    <t>MLQD7473</t>
  </si>
  <si>
    <t>Rustic Bike Store</t>
  </si>
  <si>
    <t>C/ Moralzarzal, 95</t>
  </si>
  <si>
    <t>RJND6607</t>
  </si>
  <si>
    <t>Liquidation Sales</t>
  </si>
  <si>
    <t>7834 Douglas Av.</t>
  </si>
  <si>
    <t>YKKD5709</t>
  </si>
  <si>
    <t>Utilitarian Sporting Goods</t>
  </si>
  <si>
    <t>210 Miller Street</t>
  </si>
  <si>
    <t>NXCD6264</t>
  </si>
  <si>
    <t>Popular Bike Lines</t>
  </si>
  <si>
    <t>52 rue St. Laurent</t>
  </si>
  <si>
    <t>H1J 1C12</t>
  </si>
  <si>
    <t>LIVD8563</t>
  </si>
  <si>
    <t>Bike Part Wholesalers</t>
  </si>
  <si>
    <t>40 Duncan St. West End</t>
  </si>
  <si>
    <t>JMSD4707</t>
  </si>
  <si>
    <t>Hometown Riding Supplies</t>
  </si>
  <si>
    <t>JMSP8183</t>
  </si>
  <si>
    <t>Widget Bicycle Specialists</t>
  </si>
  <si>
    <t>9417 Furth Circle</t>
  </si>
  <si>
    <t>SXND8112</t>
  </si>
  <si>
    <t>Good Bicycle Store</t>
  </si>
  <si>
    <t>Torikatu 47</t>
  </si>
  <si>
    <t>MYHA5668</t>
  </si>
  <si>
    <t>Parts Shop</t>
  </si>
  <si>
    <t>40.67.8563</t>
  </si>
  <si>
    <t>JUJA7585</t>
  </si>
  <si>
    <t>Expert Sports Store</t>
  </si>
  <si>
    <t>STWA6762</t>
  </si>
  <si>
    <t>The Cycle Store</t>
  </si>
  <si>
    <t>(171) 555-2290</t>
  </si>
  <si>
    <t>MOXA8682</t>
  </si>
  <si>
    <t>Regional Cycle Shop</t>
  </si>
  <si>
    <t>(91) 555 94 52</t>
  </si>
  <si>
    <t>OKHA7408</t>
  </si>
  <si>
    <t>Shipping Specialists</t>
  </si>
  <si>
    <t>HXFA5619</t>
  </si>
  <si>
    <t>Sensational Discount Store</t>
  </si>
  <si>
    <t>AMLL5582</t>
  </si>
  <si>
    <t>Retail Discount Store</t>
  </si>
  <si>
    <t>(514) 555-8062</t>
  </si>
  <si>
    <t>VYKA6774</t>
  </si>
  <si>
    <t>Jumbo Bikes</t>
  </si>
  <si>
    <t>61-7-3844-6563</t>
  </si>
  <si>
    <t>JTNA6133</t>
  </si>
  <si>
    <t>Operational Manufacturing</t>
  </si>
  <si>
    <t>(1) 47.55.6563</t>
  </si>
  <si>
    <t>MWCA6272</t>
  </si>
  <si>
    <t>Eleventh Bike Store</t>
  </si>
  <si>
    <t>MJXA6553</t>
  </si>
  <si>
    <t>Parcel Express Delivery Service</t>
  </si>
  <si>
    <t>981-443663</t>
  </si>
  <si>
    <t>SLJB6314</t>
  </si>
  <si>
    <t>Discount Bicycle Specialists</t>
  </si>
  <si>
    <t>+33 1 46 62 7563</t>
  </si>
  <si>
    <t>Infos Clients</t>
  </si>
  <si>
    <t>tuyau PVC 40 au ml</t>
  </si>
  <si>
    <t>NCLCH2</t>
  </si>
  <si>
    <t>coude simple M/F 20' d.40</t>
  </si>
  <si>
    <t>NCLCH22</t>
  </si>
  <si>
    <t>coude simple F/F 20' d.40</t>
  </si>
  <si>
    <t>NCLCH4</t>
  </si>
  <si>
    <t xml:space="preserve">coude simple M/F 45' d.40 </t>
  </si>
  <si>
    <t>NCLCH44</t>
  </si>
  <si>
    <t xml:space="preserve">coude simple F/F 45' d.40 </t>
  </si>
  <si>
    <t>NCLCH6</t>
  </si>
  <si>
    <t xml:space="preserve">coude simple M/F 67'30 d.40 </t>
  </si>
  <si>
    <t>NCLCH66</t>
  </si>
  <si>
    <t xml:space="preserve">coude simple F/F 67'30 d.40 </t>
  </si>
  <si>
    <t>NCLCH8</t>
  </si>
  <si>
    <t xml:space="preserve">coude simple M/F 87'30 d.40 </t>
  </si>
  <si>
    <t>NCLCH88</t>
  </si>
  <si>
    <t xml:space="preserve">coude simple F/F 87'30 d.40 </t>
  </si>
  <si>
    <t>NCLFH</t>
  </si>
  <si>
    <t xml:space="preserve">tampon de visite avec bouchon M/F d.40 </t>
  </si>
  <si>
    <t>NCLFLEXH</t>
  </si>
  <si>
    <t xml:space="preserve">manchette souple pour rénovation F/F d.40 </t>
  </si>
  <si>
    <t>NCLFLEXHM</t>
  </si>
  <si>
    <t xml:space="preserve">manchette souple pour rénovation M/F d.40 </t>
  </si>
  <si>
    <t>NCLBH14</t>
  </si>
  <si>
    <t xml:space="preserve">culotte simple M/F 45' d.40 </t>
  </si>
  <si>
    <t>NCLBH144</t>
  </si>
  <si>
    <t xml:space="preserve">culotte simple F/F 45' d.40 </t>
  </si>
  <si>
    <t>NCLBH18</t>
  </si>
  <si>
    <t xml:space="preserve">culotte simple M/F 87'30 d.40 </t>
  </si>
  <si>
    <t>NCLBH188</t>
  </si>
  <si>
    <t xml:space="preserve">culotte simple F/F 87'30 d.40 </t>
  </si>
  <si>
    <t>NCLTH188</t>
  </si>
  <si>
    <t xml:space="preserve">té pied de biche F/F 87'30 d.40 </t>
  </si>
  <si>
    <t>NCLTH188MF</t>
  </si>
  <si>
    <t xml:space="preserve">té pied de biche M/F 87'30 d.40 </t>
  </si>
  <si>
    <t>NCLKH</t>
  </si>
  <si>
    <t xml:space="preserve">coulisse F/F d.40 </t>
  </si>
  <si>
    <t>Prix</t>
  </si>
  <si>
    <t>WAV302</t>
  </si>
  <si>
    <t>Date de Saisie</t>
  </si>
  <si>
    <t>Clients</t>
  </si>
  <si>
    <t>N° Factures</t>
  </si>
  <si>
    <t>Date de Facture</t>
  </si>
  <si>
    <t>Date de d'écheance</t>
  </si>
  <si>
    <t>Montant HT</t>
  </si>
  <si>
    <t>Montant TTC</t>
  </si>
  <si>
    <t>HISTORIQUE DES FACTURES</t>
  </si>
  <si>
    <t>Base de données des Articles</t>
  </si>
  <si>
    <t>Base de données Clients</t>
  </si>
  <si>
    <t>N° jours d'échéance</t>
  </si>
  <si>
    <t>Veuillez libeller tous les chèques à l’ordre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</si>
</sst>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  <numFmt numFmtId="165" formatCode="00000"/>
    <numFmt numFmtId="166" formatCode="0000"/>
    <numFmt numFmtId="167" formatCode="#,##0.00\ &quot;€&quot;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sz val="11"/>
      <color theme="1" tint="0.14999847407452621"/>
      <name val="Franklin Gothic Book"/>
      <family val="2"/>
    </font>
    <font>
      <sz val="11"/>
      <color theme="1" tint="0.34998626667073579"/>
      <name val="Franklin Gothic Book"/>
      <family val="2"/>
    </font>
    <font>
      <sz val="11"/>
      <color theme="3"/>
      <name val="Franklin Gothic Book"/>
      <family val="2"/>
    </font>
    <font>
      <sz val="11"/>
      <color theme="1" tint="0.34998626667073579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sz val="11"/>
      <color theme="0"/>
      <name val="Aptos Display"/>
      <family val="2"/>
      <scheme val="major"/>
    </font>
    <font>
      <sz val="12"/>
      <name val="Times New Roman"/>
      <family val="1"/>
    </font>
    <font>
      <sz val="10"/>
      <name val="Arial"/>
      <family val="2"/>
    </font>
    <font>
      <sz val="11"/>
      <color theme="0"/>
      <name val="Franklin Gothic Book"/>
      <family val="2"/>
    </font>
    <font>
      <sz val="10"/>
      <color theme="0"/>
      <name val="Franklin Gothic Book"/>
      <family val="2"/>
    </font>
    <font>
      <sz val="10"/>
      <color theme="1"/>
      <name val="Franklin Gothic Book"/>
      <family val="2"/>
    </font>
    <font>
      <sz val="10"/>
      <name val="Franklin Gothic Book"/>
      <family val="2"/>
    </font>
    <font>
      <sz val="10"/>
      <color theme="0"/>
      <name val="Aptos Display"/>
      <family val="2"/>
      <scheme val="major"/>
    </font>
    <font>
      <b/>
      <u/>
      <sz val="11"/>
      <color rgb="FF0070C0"/>
      <name val="Aptos Narrow"/>
      <family val="2"/>
      <scheme val="minor"/>
    </font>
    <font>
      <b/>
      <sz val="11"/>
      <color theme="1" tint="0.14999847407452621"/>
      <name val="Franklin Gothic Book"/>
      <family val="2"/>
    </font>
    <font>
      <sz val="11"/>
      <color theme="6" tint="-0.499984740745262"/>
      <name val="Aptos Display"/>
      <family val="2"/>
      <scheme val="major"/>
    </font>
    <font>
      <sz val="28"/>
      <color theme="6" tint="-0.499984740745262"/>
      <name val="Berlin Sans FB Demi"/>
      <family val="2"/>
    </font>
    <font>
      <b/>
      <sz val="12"/>
      <color theme="1"/>
      <name val="Franklin Gothic Book"/>
      <family val="2"/>
    </font>
    <font>
      <b/>
      <sz val="12"/>
      <color theme="1" tint="0.34998626667073579"/>
      <name val="Aptos Narrow"/>
      <family val="2"/>
      <scheme val="minor"/>
    </font>
    <font>
      <b/>
      <sz val="11"/>
      <color theme="6" tint="-0.499984740745262"/>
      <name val="Aptos Display"/>
      <family val="2"/>
      <scheme val="maj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13" fillId="0" borderId="0"/>
  </cellStyleXfs>
  <cellXfs count="70">
    <xf numFmtId="0" fontId="0" fillId="0" borderId="0" xfId="0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 indent="1"/>
    </xf>
    <xf numFmtId="44" fontId="4" fillId="2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5" fillId="5" borderId="7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16" fillId="6" borderId="0" xfId="0" applyFont="1" applyFill="1"/>
    <xf numFmtId="0" fontId="16" fillId="0" borderId="0" xfId="0" applyFont="1"/>
    <xf numFmtId="164" fontId="16" fillId="0" borderId="0" xfId="0" applyNumberFormat="1" applyFont="1"/>
    <xf numFmtId="0" fontId="17" fillId="0" borderId="0" xfId="4" applyFont="1" applyAlignment="1">
      <alignment horizontal="left"/>
    </xf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0" fontId="18" fillId="5" borderId="7" xfId="0" applyFont="1" applyFill="1" applyBorder="1" applyAlignment="1">
      <alignment horizontal="center" vertical="center"/>
    </xf>
    <xf numFmtId="3" fontId="16" fillId="0" borderId="0" xfId="0" applyNumberFormat="1" applyFont="1" applyAlignment="1">
      <alignment horizontal="center"/>
    </xf>
    <xf numFmtId="0" fontId="16" fillId="6" borderId="0" xfId="0" applyFont="1" applyFill="1" applyAlignment="1">
      <alignment horizontal="center"/>
    </xf>
    <xf numFmtId="0" fontId="19" fillId="0" borderId="0" xfId="2" applyNumberFormat="1" applyFont="1" applyAlignment="1"/>
    <xf numFmtId="0" fontId="20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44" fontId="0" fillId="0" borderId="5" xfId="0" applyNumberFormat="1" applyBorder="1" applyAlignment="1">
      <alignment horizontal="center" vertical="center"/>
    </xf>
    <xf numFmtId="44" fontId="0" fillId="0" borderId="6" xfId="0" applyNumberFormat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 indent="1"/>
    </xf>
    <xf numFmtId="44" fontId="0" fillId="6" borderId="5" xfId="0" applyNumberFormat="1" applyFill="1" applyBorder="1" applyAlignment="1">
      <alignment horizontal="center" vertical="center"/>
    </xf>
    <xf numFmtId="44" fontId="0" fillId="6" borderId="6" xfId="0" applyNumberForma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44" fontId="0" fillId="6" borderId="0" xfId="0" applyNumberFormat="1" applyFill="1" applyAlignment="1">
      <alignment horizontal="center" vertical="center"/>
    </xf>
    <xf numFmtId="44" fontId="11" fillId="3" borderId="2" xfId="0" applyNumberFormat="1" applyFont="1" applyFill="1" applyBorder="1" applyAlignment="1">
      <alignment horizontal="right" vertical="center"/>
    </xf>
    <xf numFmtId="44" fontId="11" fillId="3" borderId="2" xfId="0" applyNumberFormat="1" applyFont="1" applyFill="1" applyBorder="1" applyAlignment="1">
      <alignment horizontal="center" vertical="center"/>
    </xf>
    <xf numFmtId="0" fontId="16" fillId="0" borderId="8" xfId="0" applyFont="1" applyBorder="1"/>
    <xf numFmtId="0" fontId="16" fillId="0" borderId="8" xfId="0" applyFont="1" applyBorder="1" applyAlignment="1">
      <alignment horizontal="center"/>
    </xf>
    <xf numFmtId="0" fontId="16" fillId="6" borderId="8" xfId="0" applyFont="1" applyFill="1" applyBorder="1"/>
    <xf numFmtId="0" fontId="16" fillId="6" borderId="8" xfId="0" applyFont="1" applyFill="1" applyBorder="1" applyAlignment="1">
      <alignment horizontal="center"/>
    </xf>
    <xf numFmtId="0" fontId="23" fillId="0" borderId="8" xfId="0" applyFont="1" applyBorder="1"/>
    <xf numFmtId="0" fontId="24" fillId="0" borderId="0" xfId="0" applyFont="1" applyAlignment="1">
      <alignment horizontal="left" vertical="center"/>
    </xf>
    <xf numFmtId="14" fontId="24" fillId="0" borderId="0" xfId="0" applyNumberFormat="1" applyFont="1" applyAlignment="1">
      <alignment horizontal="left" vertical="center"/>
    </xf>
    <xf numFmtId="165" fontId="2" fillId="0" borderId="0" xfId="0" applyNumberFormat="1" applyFont="1" applyAlignment="1">
      <alignment horizontal="center"/>
    </xf>
    <xf numFmtId="9" fontId="4" fillId="2" borderId="3" xfId="1" applyFont="1" applyFill="1" applyBorder="1" applyAlignment="1">
      <alignment horizontal="right" vertical="center"/>
    </xf>
    <xf numFmtId="166" fontId="0" fillId="0" borderId="0" xfId="0" applyNumberFormat="1"/>
    <xf numFmtId="167" fontId="0" fillId="0" borderId="5" xfId="0" applyNumberFormat="1" applyBorder="1" applyAlignment="1">
      <alignment vertical="center"/>
    </xf>
    <xf numFmtId="167" fontId="0" fillId="6" borderId="5" xfId="0" applyNumberFormat="1" applyFill="1" applyBorder="1" applyAlignment="1">
      <alignment vertical="center"/>
    </xf>
    <xf numFmtId="167" fontId="0" fillId="6" borderId="0" xfId="0" applyNumberFormat="1" applyFill="1" applyAlignment="1">
      <alignment vertical="center"/>
    </xf>
    <xf numFmtId="14" fontId="16" fillId="0" borderId="0" xfId="0" applyNumberFormat="1" applyFont="1"/>
    <xf numFmtId="14" fontId="0" fillId="0" borderId="0" xfId="0" applyNumberFormat="1"/>
    <xf numFmtId="14" fontId="16" fillId="0" borderId="0" xfId="0" applyNumberFormat="1" applyFont="1" applyAlignment="1">
      <alignment horizontal="center"/>
    </xf>
    <xf numFmtId="7" fontId="16" fillId="0" borderId="0" xfId="0" applyNumberFormat="1" applyFont="1"/>
    <xf numFmtId="0" fontId="14" fillId="4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5">
    <cellStyle name="Lien hypertexte" xfId="2" builtinId="8"/>
    <cellStyle name="Normal" xfId="0" builtinId="0"/>
    <cellStyle name="Normal 2 2" xfId="4" xr:uid="{C9627841-507B-4B7D-85B6-F9469991FA85}"/>
    <cellStyle name="Normal 46" xfId="3" xr:uid="{BD6A5031-3E0C-427E-817B-54D9F674D8F6}"/>
    <cellStyle name="Pourcentage" xfId="1" builtinId="5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</font>
      <numFmt numFmtId="34" formatCode="_-* #,##0.00\ &quot;€&quot;_-;\-* #,##0.00\ &quot;€&quot;_-;_-* &quot;-&quot;??\ &quot;€&quot;_-;_-@_-"/>
    </dxf>
    <dxf>
      <font>
        <strike val="0"/>
        <outline val="0"/>
        <shadow val="0"/>
        <vertAlign val="baseline"/>
        <sz val="11"/>
      </font>
      <numFmt numFmtId="167" formatCode="#,##0.00\ &quot;€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  <numFmt numFmtId="0" formatCode="General"/>
    </dxf>
    <dxf>
      <font>
        <strike val="0"/>
        <outline val="0"/>
        <shadow val="0"/>
        <vertAlign val="baseline"/>
        <sz val="1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</dxf>
    <dxf>
      <font>
        <strike val="0"/>
        <outline val="0"/>
        <shadow val="0"/>
        <vertAlign val="baseline"/>
        <sz val="11"/>
        <family val="2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theme="9" tint="-0.499984740745262"/>
        </patternFill>
      </fill>
    </dxf>
    <dxf>
      <font>
        <strike val="0"/>
        <outline val="0"/>
        <shadow val="0"/>
        <vertAlign val="baseline"/>
        <sz val="11"/>
      </font>
      <numFmt numFmtId="34" formatCode="_-* #,##0.00\ &quot;€&quot;_-;\-* #,##0.00\ &quot;€&quot;_-;_-* &quot;-&quot;??\ &quot;€&quot;_-;_-@_-"/>
    </dxf>
    <dxf>
      <font>
        <strike val="0"/>
        <outline val="0"/>
        <shadow val="0"/>
        <vertAlign val="baseline"/>
        <sz val="1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  <numFmt numFmtId="0" formatCode="General"/>
    </dxf>
    <dxf>
      <font>
        <strike val="0"/>
        <outline val="0"/>
        <shadow val="0"/>
        <vertAlign val="baseline"/>
        <sz val="1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</dxf>
    <dxf>
      <font>
        <strike val="0"/>
        <outline val="0"/>
        <shadow val="0"/>
        <vertAlign val="baseline"/>
        <sz val="11"/>
        <family val="2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theme="9" tint="-0.49998474074526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theme="9" tint="0.79995117038483843"/>
          <bgColor theme="0" tint="-4.9989318521683403E-2"/>
        </patternFill>
      </fill>
    </dxf>
    <dxf>
      <font>
        <b/>
        <color theme="9" tint="-0.249977111117893"/>
      </font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color auto="1"/>
      </font>
      <fill>
        <patternFill patternType="none"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 tint="0.14996795556505021"/>
      </font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theme="9" tint="0.79995117038483843"/>
          <bgColor theme="0" tint="-4.9989318521683403E-2"/>
        </patternFill>
      </fill>
    </dxf>
    <dxf>
      <font>
        <b/>
        <color theme="9" tint="-0.249977111117893"/>
      </font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color auto="1"/>
      </font>
      <fill>
        <patternFill patternType="none"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 tint="0.14996795556505021"/>
      </font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odèle de facturation" pivot="0" count="8" xr9:uid="{170FCD2C-C416-45FA-9868-4E733A896203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secondRowStripe" dxfId="30"/>
      <tableStyleElement type="firstColumnStripe" dxfId="29"/>
    </tableStyle>
    <tableStyle name="Modèle de facturation 2" pivot="0" count="8" xr9:uid="{BBEE4734-16D5-4798-9627-C68D8410F876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secondRowStripe" dxfId="22"/>
      <tableStyleElement type="firstColumn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8.jpeg"/><Relationship Id="rId1" Type="http://schemas.openxmlformats.org/officeDocument/2006/relationships/image" Target="../media/image7.png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7</xdr:row>
      <xdr:rowOff>152400</xdr:rowOff>
    </xdr:from>
    <xdr:to>
      <xdr:col>0</xdr:col>
      <xdr:colOff>333870</xdr:colOff>
      <xdr:row>9</xdr:row>
      <xdr:rowOff>59543</xdr:rowOff>
    </xdr:to>
    <xdr:pic>
      <xdr:nvPicPr>
        <xdr:cNvPr id="14" name="Image 18" descr="Dessin d’un épingle d’emplacement" title="Icône 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7875"/>
          <a:ext cx="288150" cy="303383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</xdr:colOff>
      <xdr:row>4</xdr:row>
      <xdr:rowOff>80130</xdr:rowOff>
    </xdr:from>
    <xdr:to>
      <xdr:col>0</xdr:col>
      <xdr:colOff>324345</xdr:colOff>
      <xdr:row>5</xdr:row>
      <xdr:rowOff>166343</xdr:rowOff>
    </xdr:to>
    <xdr:pic>
      <xdr:nvPicPr>
        <xdr:cNvPr id="15" name="Image 14" descr="Dessin d’un téléphone" title="Icône 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822630"/>
          <a:ext cx="297675" cy="27371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</xdr:row>
      <xdr:rowOff>182047</xdr:rowOff>
    </xdr:from>
    <xdr:to>
      <xdr:col>0</xdr:col>
      <xdr:colOff>326250</xdr:colOff>
      <xdr:row>7</xdr:row>
      <xdr:rowOff>91095</xdr:rowOff>
    </xdr:to>
    <xdr:pic>
      <xdr:nvPicPr>
        <xdr:cNvPr id="16" name="Image 37" descr="Dessin d’une loupe" title="Icône 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112047"/>
          <a:ext cx="288150" cy="284048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2</xdr:col>
      <xdr:colOff>2438400</xdr:colOff>
      <xdr:row>2</xdr:row>
      <xdr:rowOff>190499</xdr:rowOff>
    </xdr:to>
    <xdr:pic>
      <xdr:nvPicPr>
        <xdr:cNvPr id="20" name="Image 19" descr="Icône Microsoft Invoicin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4095749" cy="58102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5</xdr:col>
      <xdr:colOff>314325</xdr:colOff>
      <xdr:row>0</xdr:row>
      <xdr:rowOff>152400</xdr:rowOff>
    </xdr:from>
    <xdr:to>
      <xdr:col>6</xdr:col>
      <xdr:colOff>542925</xdr:colOff>
      <xdr:row>2</xdr:row>
      <xdr:rowOff>19049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6866325" y="152400"/>
          <a:ext cx="1446600" cy="238649"/>
          <a:chOff x="6686550" y="152400"/>
          <a:chExt cx="1409700" cy="257174"/>
        </a:xfrm>
      </xdr:grpSpPr>
      <xdr:sp macro="[0]!Export_Pdf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6686550" y="152400"/>
            <a:ext cx="1409700" cy="24765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    Exporter en PDF</a:t>
            </a:r>
          </a:p>
        </xdr:txBody>
      </xdr:sp>
      <xdr:pic>
        <xdr:nvPicPr>
          <xdr:cNvPr id="23" name="Image 22" descr="Une image contenant logo, Police, rouge, Graphique&#10;&#10;Description générée automatiquement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96076" y="161925"/>
            <a:ext cx="247649" cy="24764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333375</xdr:colOff>
      <xdr:row>2</xdr:row>
      <xdr:rowOff>120882</xdr:rowOff>
    </xdr:from>
    <xdr:to>
      <xdr:col>6</xdr:col>
      <xdr:colOff>561975</xdr:colOff>
      <xdr:row>3</xdr:row>
      <xdr:rowOff>198467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85375" y="492882"/>
          <a:ext cx="1446600" cy="261965"/>
          <a:chOff x="6705600" y="511407"/>
          <a:chExt cx="1409700" cy="277610"/>
        </a:xfrm>
      </xdr:grpSpPr>
      <xdr:sp macro="[0]!Rectangle23_Cliquer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6705600" y="523875"/>
            <a:ext cx="1409700" cy="24765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Sauvegarder</a:t>
            </a:r>
          </a:p>
        </xdr:txBody>
      </xdr:sp>
      <xdr:pic>
        <xdr:nvPicPr>
          <xdr:cNvPr id="31" name="Image 30" descr="Une image contenant texte, Bleu électrique, capture d’écran, Police&#10;&#10;Description générée automatiquement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05600" y="511407"/>
            <a:ext cx="266700" cy="27761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2</xdr:col>
      <xdr:colOff>765722</xdr:colOff>
      <xdr:row>1</xdr:row>
      <xdr:rowOff>132523</xdr:rowOff>
    </xdr:to>
    <xdr:pic>
      <xdr:nvPicPr>
        <xdr:cNvPr id="2" name="Image 19" descr="Icône Microsoft Invoic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1"/>
          <a:ext cx="2495461" cy="315402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32385</xdr:colOff>
      <xdr:row>7</xdr:row>
      <xdr:rowOff>85953</xdr:rowOff>
    </xdr:from>
    <xdr:to>
      <xdr:col>0</xdr:col>
      <xdr:colOff>307200</xdr:colOff>
      <xdr:row>9</xdr:row>
      <xdr:rowOff>20125</xdr:rowOff>
    </xdr:to>
    <xdr:pic>
      <xdr:nvPicPr>
        <xdr:cNvPr id="3" name="Image 18" descr="Dessin d’un épingle d’emplacement" title="Icône 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" y="1381353"/>
          <a:ext cx="276720" cy="2808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181668</xdr:rowOff>
    </xdr:from>
    <xdr:to>
      <xdr:col>0</xdr:col>
      <xdr:colOff>303390</xdr:colOff>
      <xdr:row>5</xdr:row>
      <xdr:rowOff>91476</xdr:rowOff>
    </xdr:to>
    <xdr:pic>
      <xdr:nvPicPr>
        <xdr:cNvPr id="4" name="Image 3" descr="Dessin d’un téléphone" title="Icône 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308"/>
          <a:ext cx="303390" cy="27747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</xdr:colOff>
      <xdr:row>5</xdr:row>
      <xdr:rowOff>100128</xdr:rowOff>
    </xdr:from>
    <xdr:to>
      <xdr:col>0</xdr:col>
      <xdr:colOff>320535</xdr:colOff>
      <xdr:row>7</xdr:row>
      <xdr:rowOff>22175</xdr:rowOff>
    </xdr:to>
    <xdr:pic>
      <xdr:nvPicPr>
        <xdr:cNvPr id="5" name="Image 37" descr="Dessin d’une loupe" title="Icône 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" y="1022148"/>
          <a:ext cx="288150" cy="295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175260</xdr:rowOff>
        </xdr:from>
        <xdr:to>
          <xdr:col>7</xdr:col>
          <xdr:colOff>411480</xdr:colOff>
          <xdr:row>5</xdr:row>
          <xdr:rowOff>22860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7620</xdr:rowOff>
        </xdr:from>
        <xdr:to>
          <xdr:col>7</xdr:col>
          <xdr:colOff>457200</xdr:colOff>
          <xdr:row>9</xdr:row>
          <xdr:rowOff>15240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E75067-733D-4C58-9D8D-1FF3F46F2439}" name="Table_Items" displayName="Table_Items" ref="A17:E37" totalsRowShown="0" headerRowDxfId="20" dataDxfId="19">
  <autoFilter ref="A17:E37" xr:uid="{61E75067-733D-4C58-9D8D-1FF3F46F2439}"/>
  <tableColumns count="5">
    <tableColumn id="1" xr3:uid="{8A1F7E4B-F19E-4496-8548-940482FA55C4}" name="Quantité" dataDxfId="18"/>
    <tableColumn id="4" xr3:uid="{A4802E5D-889F-4688-8B2C-B2F036F0CDBA}" name="Code Articles" dataDxfId="17"/>
    <tableColumn id="2" xr3:uid="{7FA91DAF-2F89-4C69-B17B-E6E9CF6DDB6E}" name="Description" dataDxfId="16">
      <calculatedColumnFormula>IFERROR(VLOOKUP(Table_Items[[#This Row],[Code Articles]],Articles!$A:$C,COLUMN(B1),0),"")</calculatedColumnFormula>
    </tableColumn>
    <tableColumn id="5" xr3:uid="{BDABDA52-E71C-4A24-943E-F9E815B86382}" name="Prix unitaire" dataDxfId="15">
      <calculatedColumnFormula>IFERROR(VLOOKUP(Table_Items[[#This Row],[Code Articles]],Articles!$A:$C,COLUMN(C1),0),"")</calculatedColumnFormula>
    </tableColumn>
    <tableColumn id="6" xr3:uid="{A223B109-378A-4554-8827-8F9A2DE1F825}" name="Total de la ligne" dataDxfId="14">
      <calculatedColumnFormula>IFERROR(Table_Items[[#This Row],[Quantité]]*Table_Items[[#This Row],[Prix unitaire]],"")</calculatedColumnFormula>
    </tableColumn>
  </tableColumns>
  <tableStyleInfo name="Modèle de facturat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2310A6-E47E-4A86-8D07-BCA1106AB16C}" name="Table_Items3" displayName="Table_Items3" ref="A17:E37" totalsRowShown="0" headerRowDxfId="13" dataDxfId="12">
  <autoFilter ref="A17:E37" xr:uid="{922310A6-E47E-4A86-8D07-BCA1106AB16C}"/>
  <tableColumns count="5">
    <tableColumn id="1" xr3:uid="{3C6220E5-EDA9-4742-9136-27FF8F27BF85}" name="Quantité" dataDxfId="11"/>
    <tableColumn id="4" xr3:uid="{5F3318DD-51D2-4AB3-B821-FB772FFA4267}" name="Code Articles" dataDxfId="10"/>
    <tableColumn id="2" xr3:uid="{E1FF2D62-4904-4243-ADBA-767587915A54}" name="Description" dataDxfId="9">
      <calculatedColumnFormula>IFERROR(VLOOKUP(Table_Items3[[#This Row],[Code Articles]],Articles!$A:$C,COLUMN(B1),0),"")</calculatedColumnFormula>
    </tableColumn>
    <tableColumn id="5" xr3:uid="{7EFE9899-F7DC-4411-9359-75B996176BA0}" name="Prix unitaire" dataDxfId="8">
      <calculatedColumnFormula>IFERROR(VLOOKUP(Table_Items3[[#This Row],[Code Articles]],Articles!$A:$C,COLUMN(C1),0),"")</calculatedColumnFormula>
    </tableColumn>
    <tableColumn id="6" xr3:uid="{BD29F4E4-E66D-4FE1-B4F3-6D8927F15F24}" name="Total de la ligne" dataDxfId="7">
      <calculatedColumnFormula>IFERROR(Table_Items3[[#This Row],[Prix unitaire]]*Table_Items3[[#This Row],[Quantité]],"")</calculatedColumnFormula>
    </tableColumn>
  </tableColumns>
  <tableStyleInfo name="Modèle de facturation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47FB-BB98-4C39-932C-760D6152F43A}">
  <sheetPr codeName="Feuil1">
    <tabColor theme="9" tint="-0.499984740745262"/>
  </sheetPr>
  <dimension ref="A1:F48"/>
  <sheetViews>
    <sheetView showGridLines="0" topLeftCell="A17" zoomScale="127" zoomScaleNormal="100" workbookViewId="0">
      <selection activeCell="A18" sqref="A18"/>
    </sheetView>
  </sheetViews>
  <sheetFormatPr baseColWidth="10" defaultColWidth="10.77734375" defaultRowHeight="14.4" x14ac:dyDescent="0.3"/>
  <cols>
    <col min="1" max="1" width="12.6640625" customWidth="1"/>
    <col min="2" max="2" width="12.109375" customWidth="1"/>
    <col min="3" max="3" width="38.33203125" customWidth="1"/>
    <col min="4" max="4" width="14.6640625" customWidth="1"/>
    <col min="5" max="6" width="17.77734375" customWidth="1"/>
  </cols>
  <sheetData>
    <row r="1" spans="1:6" x14ac:dyDescent="0.3">
      <c r="A1" s="1"/>
      <c r="B1" s="1"/>
      <c r="C1" s="31"/>
      <c r="D1" s="68" t="s">
        <v>1</v>
      </c>
      <c r="E1" s="68"/>
      <c r="F1" s="1"/>
    </row>
    <row r="2" spans="1:6" ht="15" x14ac:dyDescent="0.3">
      <c r="A2" s="2"/>
      <c r="B2" s="2"/>
      <c r="C2" s="2"/>
      <c r="D2" s="68"/>
      <c r="E2" s="68"/>
      <c r="F2" s="2" t="s">
        <v>0</v>
      </c>
    </row>
    <row r="3" spans="1:6" ht="15" x14ac:dyDescent="0.3">
      <c r="A3" s="2"/>
      <c r="B3" s="2"/>
      <c r="C3" s="2"/>
      <c r="D3" s="15" t="s">
        <v>5</v>
      </c>
      <c r="E3" s="57">
        <v>1</v>
      </c>
      <c r="F3" s="2"/>
    </row>
    <row r="4" spans="1:6" ht="15" x14ac:dyDescent="0.3">
      <c r="A4" s="32" t="s">
        <v>2</v>
      </c>
      <c r="B4" s="3"/>
      <c r="C4" s="3"/>
      <c r="D4" s="15" t="s">
        <v>6</v>
      </c>
      <c r="E4" s="11" t="str">
        <f>IFERROR(VLOOKUP($E$7,'Infos Clients'!$A$3:$H$1048576,MATCH(Facture!D4,'Infos Clients'!$3:$3,0),0),"")</f>
        <v/>
      </c>
      <c r="F4" s="2"/>
    </row>
    <row r="5" spans="1:6" ht="15" x14ac:dyDescent="0.3">
      <c r="A5" s="2"/>
      <c r="B5" s="2"/>
      <c r="C5" s="2"/>
      <c r="D5" s="2"/>
      <c r="E5" s="2"/>
      <c r="F5" s="2"/>
    </row>
    <row r="6" spans="1:6" ht="15" x14ac:dyDescent="0.3">
      <c r="B6" s="33"/>
      <c r="C6" s="69" t="s">
        <v>3</v>
      </c>
      <c r="D6" s="69"/>
      <c r="E6" s="2"/>
      <c r="F6" s="2"/>
    </row>
    <row r="7" spans="1:6" ht="15" x14ac:dyDescent="0.3">
      <c r="A7" s="4"/>
      <c r="B7" s="4"/>
      <c r="C7" s="5"/>
      <c r="D7" s="14" t="s">
        <v>13</v>
      </c>
      <c r="E7" s="2"/>
      <c r="F7" s="2"/>
    </row>
    <row r="8" spans="1:6" ht="15" x14ac:dyDescent="0.35">
      <c r="A8" s="4"/>
      <c r="B8" s="4"/>
      <c r="C8" s="5"/>
      <c r="D8" s="19" t="s">
        <v>14</v>
      </c>
      <c r="E8" s="11" t="str">
        <f>IFERROR(VLOOKUP($E$7,'Infos Clients'!$A$3:$H$1048576,MATCH(Facture!D8,'Infos Clients'!$3:$3,0),0),"")</f>
        <v/>
      </c>
      <c r="F8" s="2"/>
    </row>
    <row r="9" spans="1:6" ht="15" x14ac:dyDescent="0.35">
      <c r="A9" s="4"/>
      <c r="B9" s="4"/>
      <c r="C9" s="4"/>
      <c r="D9" s="19" t="s">
        <v>20</v>
      </c>
      <c r="E9" s="11" t="str">
        <f>IFERROR(VLOOKUP($E$7,'Infos Clients'!$A$3:$H$1048576,MATCH(Facture!D9,'Infos Clients'!$3:$3,0),0),"")</f>
        <v/>
      </c>
      <c r="F9" s="4"/>
    </row>
    <row r="10" spans="1:6" ht="15" x14ac:dyDescent="0.35">
      <c r="A10" s="4"/>
      <c r="B10" s="4"/>
      <c r="C10" s="4"/>
      <c r="D10" s="19" t="s">
        <v>21</v>
      </c>
      <c r="E10" s="11" t="str">
        <f>IFERROR(VLOOKUP($E$7,'Infos Clients'!$A$3:$H$1048576,MATCH(Facture!D10,'Infos Clients'!$3:$3,0),0),"")</f>
        <v/>
      </c>
      <c r="F10" s="4"/>
    </row>
    <row r="11" spans="1:6" ht="15" x14ac:dyDescent="0.35">
      <c r="A11" s="4"/>
      <c r="B11" s="4"/>
      <c r="C11" s="4"/>
      <c r="D11" s="19" t="s">
        <v>22</v>
      </c>
      <c r="E11" s="11" t="str">
        <f>IFERROR(VLOOKUP($E$7,'Infos Clients'!$A$3:$H$1048576,MATCH(Facture!D11,'Infos Clients'!$3:$3,0),0),"")</f>
        <v/>
      </c>
      <c r="F11" s="4"/>
    </row>
    <row r="12" spans="1:6" ht="15" x14ac:dyDescent="0.35">
      <c r="A12" s="2"/>
      <c r="B12" s="2"/>
      <c r="C12" s="2"/>
      <c r="D12" s="19" t="s">
        <v>23</v>
      </c>
      <c r="E12" s="11" t="str">
        <f>IFERROR(VLOOKUP($E$7,'Infos Clients'!$A$3:$H$1048576,MATCH(Facture!D12,'Infos Clients'!$3:$3,0),0),"")</f>
        <v/>
      </c>
      <c r="F12" s="2"/>
    </row>
    <row r="13" spans="1:6" ht="15.6" x14ac:dyDescent="0.3">
      <c r="A13" s="55" t="s">
        <v>4</v>
      </c>
      <c r="B13" s="6"/>
      <c r="C13" s="7"/>
      <c r="D13" s="34" t="s">
        <v>24</v>
      </c>
      <c r="E13" s="11" t="str">
        <f>IFERROR(VLOOKUP($E$7,'Infos Clients'!$A$3:$H$1048576,MATCH(Facture!D13,'Infos Clients'!$3:$3,0),0),"")</f>
        <v/>
      </c>
      <c r="F13" s="2"/>
    </row>
    <row r="14" spans="1:6" ht="15.6" x14ac:dyDescent="0.3">
      <c r="A14" s="56">
        <f ca="1">TODAY()</f>
        <v>45510</v>
      </c>
      <c r="B14" s="6"/>
      <c r="C14" s="8"/>
      <c r="E14" s="9"/>
      <c r="F14" s="2"/>
    </row>
    <row r="15" spans="1:6" ht="15" x14ac:dyDescent="0.3">
      <c r="A15" s="6"/>
      <c r="B15" s="6"/>
      <c r="C15" s="8"/>
      <c r="D15" s="2"/>
      <c r="E15" s="2"/>
      <c r="F15" s="2"/>
    </row>
    <row r="16" spans="1:6" ht="15" x14ac:dyDescent="0.3">
      <c r="A16" s="2"/>
      <c r="B16" s="2"/>
      <c r="C16" s="2"/>
      <c r="D16" s="2"/>
      <c r="E16" s="2"/>
      <c r="F16" s="2"/>
    </row>
    <row r="17" spans="1:6" x14ac:dyDescent="0.3">
      <c r="A17" s="16" t="s">
        <v>7</v>
      </c>
      <c r="B17" s="17" t="s">
        <v>18</v>
      </c>
      <c r="C17" s="17" t="s">
        <v>8</v>
      </c>
      <c r="D17" s="17" t="s">
        <v>9</v>
      </c>
      <c r="E17" s="18" t="s">
        <v>10</v>
      </c>
      <c r="F17" s="10"/>
    </row>
    <row r="18" spans="1:6" ht="15" x14ac:dyDescent="0.3">
      <c r="A18" s="35"/>
      <c r="B18" s="36"/>
      <c r="C18" s="37" t="str">
        <f>IFERROR(VLOOKUP(Table_Items[[#This Row],[Code Articles]],Articles!$A:$C,COLUMN(B1),0),"")</f>
        <v/>
      </c>
      <c r="D18" s="43" t="str">
        <f>IFERROR(VLOOKUP(Table_Items[[#This Row],[Code Articles]],Articles!$A:$C,COLUMN(C1),0),"")</f>
        <v/>
      </c>
      <c r="E18" s="39" t="str">
        <f>IFERROR(Table_Items[[#This Row],[Quantité]]*Table_Items[[#This Row],[Prix unitaire]],"")</f>
        <v/>
      </c>
      <c r="F18" s="2"/>
    </row>
    <row r="19" spans="1:6" ht="15" x14ac:dyDescent="0.3">
      <c r="A19" s="40"/>
      <c r="B19" s="41"/>
      <c r="C19" s="42" t="str">
        <f>IFERROR(VLOOKUP(Table_Items[[#This Row],[Code Articles]],Articles!$A:$C,COLUMN(B2),0),"")</f>
        <v/>
      </c>
      <c r="D19" s="43" t="str">
        <f>IFERROR(VLOOKUP(Table_Items[[#This Row],[Code Articles]],Articles!$A:$C,COLUMN(C2),0),"")</f>
        <v/>
      </c>
      <c r="E19" s="44" t="str">
        <f>IFERROR(Table_Items[[#This Row],[Quantité]]*Table_Items[[#This Row],[Prix unitaire]],"")</f>
        <v/>
      </c>
      <c r="F19" s="2"/>
    </row>
    <row r="20" spans="1:6" ht="15" x14ac:dyDescent="0.3">
      <c r="A20" s="35"/>
      <c r="B20" s="36"/>
      <c r="C20" s="37" t="str">
        <f>IFERROR(VLOOKUP(Table_Items[[#This Row],[Code Articles]],Articles!$A:$C,COLUMN(B3),0),"")</f>
        <v/>
      </c>
      <c r="D20" s="38" t="str">
        <f>IFERROR(VLOOKUP(Table_Items[[#This Row],[Code Articles]],Articles!$A:$C,COLUMN(C3),0),"")</f>
        <v/>
      </c>
      <c r="E20" s="39" t="str">
        <f>IFERROR(Table_Items[[#This Row],[Quantité]]*Table_Items[[#This Row],[Prix unitaire]],"")</f>
        <v/>
      </c>
      <c r="F20" s="2"/>
    </row>
    <row r="21" spans="1:6" ht="15" x14ac:dyDescent="0.3">
      <c r="A21" s="40"/>
      <c r="B21" s="41"/>
      <c r="C21" s="42" t="str">
        <f>IFERROR(VLOOKUP(Table_Items[[#This Row],[Code Articles]],Articles!$A:$C,COLUMN(B4),0),"")</f>
        <v/>
      </c>
      <c r="D21" s="43" t="str">
        <f>IFERROR(VLOOKUP(Table_Items[[#This Row],[Code Articles]],Articles!$A:$C,COLUMN(C4),0),"")</f>
        <v/>
      </c>
      <c r="E21" s="44" t="str">
        <f>IFERROR(Table_Items[[#This Row],[Quantité]]*Table_Items[[#This Row],[Prix unitaire]],"")</f>
        <v/>
      </c>
      <c r="F21" s="2"/>
    </row>
    <row r="22" spans="1:6" ht="15" x14ac:dyDescent="0.3">
      <c r="A22" s="35"/>
      <c r="B22" s="36"/>
      <c r="C22" s="37" t="str">
        <f>IFERROR(VLOOKUP(Table_Items[[#This Row],[Code Articles]],Articles!$A:$C,COLUMN(B5),0),"")</f>
        <v/>
      </c>
      <c r="D22" s="38" t="str">
        <f>IFERROR(VLOOKUP(Table_Items[[#This Row],[Code Articles]],Articles!$A:$C,COLUMN(C5),0),"")</f>
        <v/>
      </c>
      <c r="E22" s="39" t="str">
        <f>IFERROR(Table_Items[[#This Row],[Quantité]]*Table_Items[[#This Row],[Prix unitaire]],"")</f>
        <v/>
      </c>
      <c r="F22" s="2"/>
    </row>
    <row r="23" spans="1:6" ht="15" x14ac:dyDescent="0.3">
      <c r="A23" s="40"/>
      <c r="B23" s="41"/>
      <c r="C23" s="42" t="str">
        <f>IFERROR(VLOOKUP(Table_Items[[#This Row],[Code Articles]],Articles!$A:$C,COLUMN(B6),0),"")</f>
        <v/>
      </c>
      <c r="D23" s="43" t="str">
        <f>IFERROR(VLOOKUP(Table_Items[[#This Row],[Code Articles]],Articles!$A:$C,COLUMN(C6),0),"")</f>
        <v/>
      </c>
      <c r="E23" s="44" t="str">
        <f>IFERROR(Table_Items[[#This Row],[Quantité]]*Table_Items[[#This Row],[Prix unitaire]],"")</f>
        <v/>
      </c>
      <c r="F23" s="2"/>
    </row>
    <row r="24" spans="1:6" ht="15" x14ac:dyDescent="0.3">
      <c r="A24" s="35"/>
      <c r="B24" s="36"/>
      <c r="C24" s="37" t="str">
        <f>IFERROR(VLOOKUP(Table_Items[[#This Row],[Code Articles]],Articles!$A:$C,COLUMN(B7),0),"")</f>
        <v/>
      </c>
      <c r="D24" s="38" t="str">
        <f>IFERROR(VLOOKUP(Table_Items[[#This Row],[Code Articles]],Articles!$A:$C,COLUMN(C7),0),"")</f>
        <v/>
      </c>
      <c r="E24" s="39" t="str">
        <f>IFERROR(Table_Items[[#This Row],[Quantité]]*Table_Items[[#This Row],[Prix unitaire]],"")</f>
        <v/>
      </c>
      <c r="F24" s="2"/>
    </row>
    <row r="25" spans="1:6" ht="15" x14ac:dyDescent="0.3">
      <c r="A25" s="40"/>
      <c r="B25" s="41"/>
      <c r="C25" s="42" t="str">
        <f>IFERROR(VLOOKUP(Table_Items[[#This Row],[Code Articles]],Articles!$A:$C,COLUMN(B8),0),"")</f>
        <v/>
      </c>
      <c r="D25" s="43" t="str">
        <f>IFERROR(VLOOKUP(Table_Items[[#This Row],[Code Articles]],Articles!$A:$C,COLUMN(C8),0),"")</f>
        <v/>
      </c>
      <c r="E25" s="44" t="str">
        <f>IFERROR(Table_Items[[#This Row],[Quantité]]*Table_Items[[#This Row],[Prix unitaire]],"")</f>
        <v/>
      </c>
      <c r="F25" s="2"/>
    </row>
    <row r="26" spans="1:6" ht="15" x14ac:dyDescent="0.3">
      <c r="A26" s="35"/>
      <c r="B26" s="36"/>
      <c r="C26" s="37" t="str">
        <f>IFERROR(VLOOKUP(Table_Items[[#This Row],[Code Articles]],Articles!$A:$C,COLUMN(B9),0),"")</f>
        <v/>
      </c>
      <c r="D26" s="38" t="str">
        <f>IFERROR(VLOOKUP(Table_Items[[#This Row],[Code Articles]],Articles!$A:$C,COLUMN(C9),0),"")</f>
        <v/>
      </c>
      <c r="E26" s="39" t="str">
        <f>IFERROR(Table_Items[[#This Row],[Quantité]]*Table_Items[[#This Row],[Prix unitaire]],"")</f>
        <v/>
      </c>
      <c r="F26" s="2"/>
    </row>
    <row r="27" spans="1:6" ht="15" x14ac:dyDescent="0.3">
      <c r="A27" s="40"/>
      <c r="B27" s="41"/>
      <c r="C27" s="42" t="str">
        <f>IFERROR(VLOOKUP(Table_Items[[#This Row],[Code Articles]],Articles!$A:$C,COLUMN(B10),0),"")</f>
        <v/>
      </c>
      <c r="D27" s="43" t="str">
        <f>IFERROR(VLOOKUP(Table_Items[[#This Row],[Code Articles]],Articles!$A:$C,COLUMN(C10),0),"")</f>
        <v/>
      </c>
      <c r="E27" s="44" t="str">
        <f>IFERROR(Table_Items[[#This Row],[Quantité]]*Table_Items[[#This Row],[Prix unitaire]],"")</f>
        <v/>
      </c>
      <c r="F27" s="2"/>
    </row>
    <row r="28" spans="1:6" ht="15" x14ac:dyDescent="0.3">
      <c r="A28" s="35"/>
      <c r="B28" s="36"/>
      <c r="C28" s="37" t="str">
        <f>IFERROR(VLOOKUP(Table_Items[[#This Row],[Code Articles]],Articles!$A:$C,COLUMN(B11),0),"")</f>
        <v/>
      </c>
      <c r="D28" s="38" t="str">
        <f>IFERROR(VLOOKUP(Table_Items[[#This Row],[Code Articles]],Articles!$A:$C,COLUMN(C11),0),"")</f>
        <v/>
      </c>
      <c r="E28" s="39" t="str">
        <f>IFERROR(Table_Items[[#This Row],[Quantité]]*Table_Items[[#This Row],[Prix unitaire]],"")</f>
        <v/>
      </c>
      <c r="F28" s="2"/>
    </row>
    <row r="29" spans="1:6" ht="15" x14ac:dyDescent="0.3">
      <c r="A29" s="40"/>
      <c r="B29" s="41"/>
      <c r="C29" s="42" t="str">
        <f>IFERROR(VLOOKUP(Table_Items[[#This Row],[Code Articles]],Articles!$A:$C,COLUMN(B12),0),"")</f>
        <v/>
      </c>
      <c r="D29" s="43" t="str">
        <f>IFERROR(VLOOKUP(Table_Items[[#This Row],[Code Articles]],Articles!$A:$C,COLUMN(C12),0),"")</f>
        <v/>
      </c>
      <c r="E29" s="44" t="str">
        <f>IFERROR(Table_Items[[#This Row],[Quantité]]*Table_Items[[#This Row],[Prix unitaire]],"")</f>
        <v/>
      </c>
      <c r="F29" s="2"/>
    </row>
    <row r="30" spans="1:6" ht="15" x14ac:dyDescent="0.3">
      <c r="A30" s="35"/>
      <c r="B30" s="36"/>
      <c r="C30" s="37" t="str">
        <f>IFERROR(VLOOKUP(Table_Items[[#This Row],[Code Articles]],Articles!$A:$C,COLUMN(B13),0),"")</f>
        <v/>
      </c>
      <c r="D30" s="38" t="str">
        <f>IFERROR(VLOOKUP(Table_Items[[#This Row],[Code Articles]],Articles!$A:$C,COLUMN(C13),0),"")</f>
        <v/>
      </c>
      <c r="E30" s="39" t="str">
        <f>IFERROR(Table_Items[[#This Row],[Quantité]]*Table_Items[[#This Row],[Prix unitaire]],"")</f>
        <v/>
      </c>
      <c r="F30" s="2"/>
    </row>
    <row r="31" spans="1:6" ht="15" x14ac:dyDescent="0.3">
      <c r="A31" s="40"/>
      <c r="B31" s="41"/>
      <c r="C31" s="42" t="str">
        <f>IFERROR(VLOOKUP(Table_Items[[#This Row],[Code Articles]],Articles!$A:$C,COLUMN(B14),0),"")</f>
        <v/>
      </c>
      <c r="D31" s="43" t="str">
        <f>IFERROR(VLOOKUP(Table_Items[[#This Row],[Code Articles]],Articles!$A:$C,COLUMN(C14),0),"")</f>
        <v/>
      </c>
      <c r="E31" s="44" t="str">
        <f>IFERROR(Table_Items[[#This Row],[Quantité]]*Table_Items[[#This Row],[Prix unitaire]],"")</f>
        <v/>
      </c>
      <c r="F31" s="2"/>
    </row>
    <row r="32" spans="1:6" ht="15" x14ac:dyDescent="0.3">
      <c r="A32" s="35"/>
      <c r="B32" s="36"/>
      <c r="C32" s="37" t="str">
        <f>IFERROR(VLOOKUP(Table_Items[[#This Row],[Code Articles]],Articles!$A:$C,COLUMN(B15),0),"")</f>
        <v/>
      </c>
      <c r="D32" s="38" t="str">
        <f>IFERROR(VLOOKUP(Table_Items[[#This Row],[Code Articles]],Articles!$A:$C,COLUMN(C15),0),"")</f>
        <v/>
      </c>
      <c r="E32" s="39" t="str">
        <f>IFERROR(Table_Items[[#This Row],[Quantité]]*Table_Items[[#This Row],[Prix unitaire]],"")</f>
        <v/>
      </c>
      <c r="F32" s="2"/>
    </row>
    <row r="33" spans="1:6" ht="15" x14ac:dyDescent="0.3">
      <c r="A33" s="40"/>
      <c r="B33" s="41"/>
      <c r="C33" s="42" t="str">
        <f>IFERROR(VLOOKUP(Table_Items[[#This Row],[Code Articles]],Articles!$A:$C,COLUMN(B16),0),"")</f>
        <v/>
      </c>
      <c r="D33" s="43" t="str">
        <f>IFERROR(VLOOKUP(Table_Items[[#This Row],[Code Articles]],Articles!$A:$C,COLUMN(C16),0),"")</f>
        <v/>
      </c>
      <c r="E33" s="44" t="str">
        <f>IFERROR(Table_Items[[#This Row],[Quantité]]*Table_Items[[#This Row],[Prix unitaire]],"")</f>
        <v/>
      </c>
      <c r="F33" s="2"/>
    </row>
    <row r="34" spans="1:6" ht="15" x14ac:dyDescent="0.3">
      <c r="A34" s="35"/>
      <c r="B34" s="36"/>
      <c r="C34" s="37" t="str">
        <f>IFERROR(VLOOKUP(Table_Items[[#This Row],[Code Articles]],Articles!$A:$C,COLUMN(B17),0),"")</f>
        <v/>
      </c>
      <c r="D34" s="38" t="str">
        <f>IFERROR(VLOOKUP(Table_Items[[#This Row],[Code Articles]],Articles!$A:$C,COLUMN(C17),0),"")</f>
        <v/>
      </c>
      <c r="E34" s="39" t="str">
        <f>IFERROR(Table_Items[[#This Row],[Quantité]]*Table_Items[[#This Row],[Prix unitaire]],"")</f>
        <v/>
      </c>
      <c r="F34" s="2"/>
    </row>
    <row r="35" spans="1:6" ht="15" x14ac:dyDescent="0.3">
      <c r="A35" s="40"/>
      <c r="B35" s="41"/>
      <c r="C35" s="42" t="str">
        <f>IFERROR(VLOOKUP(Table_Items[[#This Row],[Code Articles]],Articles!$A:$C,COLUMN(B18),0),"")</f>
        <v/>
      </c>
      <c r="D35" s="43" t="str">
        <f>IFERROR(VLOOKUP(Table_Items[[#This Row],[Code Articles]],Articles!$A:$C,COLUMN(C18),0),"")</f>
        <v/>
      </c>
      <c r="E35" s="44" t="str">
        <f>IFERROR(Table_Items[[#This Row],[Quantité]]*Table_Items[[#This Row],[Prix unitaire]],"")</f>
        <v/>
      </c>
      <c r="F35" s="2"/>
    </row>
    <row r="36" spans="1:6" ht="15" x14ac:dyDescent="0.3">
      <c r="A36" s="35"/>
      <c r="B36" s="36"/>
      <c r="C36" s="37" t="str">
        <f>IFERROR(VLOOKUP(Table_Items[[#This Row],[Code Articles]],Articles!$A:$C,COLUMN(B19),0),"")</f>
        <v/>
      </c>
      <c r="D36" s="38" t="str">
        <f>IFERROR(VLOOKUP(Table_Items[[#This Row],[Code Articles]],Articles!$A:$C,COLUMN(C19),0),"")</f>
        <v/>
      </c>
      <c r="E36" s="39" t="str">
        <f>IFERROR(Table_Items[[#This Row],[Quantité]]*Table_Items[[#This Row],[Prix unitaire]],"")</f>
        <v/>
      </c>
      <c r="F36" s="2"/>
    </row>
    <row r="37" spans="1:6" ht="15" x14ac:dyDescent="0.3">
      <c r="A37" s="45"/>
      <c r="B37" s="45"/>
      <c r="C37" s="46" t="str">
        <f>IFERROR(VLOOKUP(Table_Items[[#This Row],[Code Articles]],Articles!$A:$C,COLUMN(B20),0),"")</f>
        <v/>
      </c>
      <c r="D37" s="47" t="str">
        <f>IFERROR(VLOOKUP(Table_Items[[#This Row],[Code Articles]],Articles!$A:$C,COLUMN(C20),0),"")</f>
        <v/>
      </c>
      <c r="E37" s="47" t="str">
        <f>IFERROR(Table_Items[[#This Row],[Quantité]]*Table_Items[[#This Row],[Prix unitaire]],"")</f>
        <v/>
      </c>
      <c r="F37" s="2"/>
    </row>
    <row r="38" spans="1:6" ht="15" x14ac:dyDescent="0.3">
      <c r="A38" s="2"/>
      <c r="B38" s="2"/>
      <c r="C38" s="2"/>
      <c r="D38" s="11"/>
      <c r="E38" s="2"/>
      <c r="F38" s="2"/>
    </row>
    <row r="39" spans="1:6" ht="15" x14ac:dyDescent="0.3">
      <c r="A39" s="2"/>
      <c r="B39" s="2"/>
      <c r="C39" s="2"/>
      <c r="D39" s="12" t="s">
        <v>11</v>
      </c>
      <c r="E39" s="13">
        <f>SUM(E18:E38)</f>
        <v>0</v>
      </c>
      <c r="F39" s="2"/>
    </row>
    <row r="40" spans="1:6" ht="15" x14ac:dyDescent="0.3">
      <c r="A40" s="2"/>
      <c r="B40" s="2"/>
      <c r="C40" s="2"/>
      <c r="D40" s="12" t="s">
        <v>15</v>
      </c>
      <c r="E40" s="58">
        <v>0.19</v>
      </c>
      <c r="F40" s="2"/>
    </row>
    <row r="41" spans="1:6" ht="15" x14ac:dyDescent="0.3">
      <c r="A41" s="2"/>
      <c r="B41" s="2"/>
      <c r="C41" s="2"/>
      <c r="D41" s="12" t="s">
        <v>16</v>
      </c>
      <c r="E41" s="13">
        <f>E39*E40</f>
        <v>0</v>
      </c>
      <c r="F41" s="2"/>
    </row>
    <row r="42" spans="1:6" ht="15" x14ac:dyDescent="0.3">
      <c r="A42" s="2"/>
      <c r="B42" s="2"/>
      <c r="C42" s="2" t="s">
        <v>0</v>
      </c>
      <c r="D42" s="48" t="s">
        <v>17</v>
      </c>
      <c r="E42" s="49">
        <f>E41+E39</f>
        <v>0</v>
      </c>
      <c r="F42" s="2"/>
    </row>
    <row r="43" spans="1:6" ht="15" x14ac:dyDescent="0.3">
      <c r="A43" s="2"/>
      <c r="B43" s="2"/>
      <c r="C43" s="2"/>
      <c r="D43" s="2"/>
      <c r="E43" s="2"/>
      <c r="F43" s="2"/>
    </row>
    <row r="44" spans="1:6" ht="15" x14ac:dyDescent="0.3">
      <c r="A44" s="67" t="s">
        <v>2098</v>
      </c>
      <c r="B44" s="67"/>
      <c r="C44" s="67"/>
      <c r="D44" s="67"/>
      <c r="E44" s="67"/>
      <c r="F44" s="2"/>
    </row>
    <row r="45" spans="1:6" ht="38.25" customHeight="1" x14ac:dyDescent="0.3">
      <c r="A45" s="67" t="s">
        <v>12</v>
      </c>
      <c r="B45" s="67"/>
      <c r="C45" s="67"/>
      <c r="D45" s="67"/>
      <c r="E45" s="67"/>
      <c r="F45" s="2"/>
    </row>
    <row r="46" spans="1:6" ht="15" x14ac:dyDescent="0.3">
      <c r="A46" s="2"/>
      <c r="B46" s="2"/>
      <c r="C46" s="2"/>
      <c r="D46" s="2"/>
      <c r="E46" s="2"/>
      <c r="F46" s="2"/>
    </row>
    <row r="47" spans="1:6" ht="15" x14ac:dyDescent="0.3">
      <c r="A47" s="2"/>
      <c r="B47" s="2"/>
      <c r="C47" s="2"/>
      <c r="D47" s="2"/>
      <c r="E47" s="2"/>
      <c r="F47" s="2"/>
    </row>
    <row r="48" spans="1:6" ht="15" x14ac:dyDescent="0.3">
      <c r="A48" s="2"/>
      <c r="B48" s="2"/>
      <c r="C48" s="2"/>
      <c r="D48" s="2"/>
      <c r="E48" s="2"/>
      <c r="F48" s="2"/>
    </row>
  </sheetData>
  <mergeCells count="4">
    <mergeCell ref="A44:E44"/>
    <mergeCell ref="A45:E45"/>
    <mergeCell ref="D1:E2"/>
    <mergeCell ref="C6:D6"/>
  </mergeCells>
  <dataValidations count="1">
    <dataValidation allowBlank="1" showInputMessage="1" showErrorMessage="1" prompt="Entrez le nom de votre entreprise. _x000a_Entrez les coordonnées de votre entreprise ci-dessous." sqref="A4" xr:uid="{EC990926-D018-43BD-BDC0-CD0228A4DE61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8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86FC2A-327A-43D6-A5E7-E5778792F21B}">
          <x14:formula1>
            <xm:f>'Infos Clients'!$A$4:$A$1048576</xm:f>
          </x14:formula1>
          <xm:sqref>E7</xm:sqref>
        </x14:dataValidation>
        <x14:dataValidation type="list" allowBlank="1" showInputMessage="1" showErrorMessage="1" xr:uid="{14BB78C3-DD1F-4F92-B726-3F5DB6F93122}">
          <x14:formula1>
            <xm:f>Articles!$A$4:$A$1048576</xm:f>
          </x14:formula1>
          <xm:sqref>B18:B37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A70-46A2-47EE-8BB5-DE489A35753C}">
  <sheetPr codeName="Feuil5">
    <tabColor rgb="FF0070C0"/>
  </sheetPr>
  <dimension ref="A1:E45"/>
  <sheetViews>
    <sheetView tabSelected="1" topLeftCell="A7" zoomScale="117" zoomScaleNormal="117" workbookViewId="0">
      <selection activeCell="J30" sqref="J30"/>
    </sheetView>
  </sheetViews>
  <sheetFormatPr baseColWidth="10" defaultRowHeight="14.4" x14ac:dyDescent="0.3"/>
  <cols>
    <col min="2" max="2" width="15.21875" customWidth="1"/>
    <col min="3" max="3" width="27.77734375" customWidth="1"/>
    <col min="4" max="4" width="13.88671875" customWidth="1"/>
    <col min="5" max="5" width="23.33203125" customWidth="1"/>
  </cols>
  <sheetData>
    <row r="1" spans="1:5" x14ac:dyDescent="0.3">
      <c r="D1" s="68" t="s">
        <v>1</v>
      </c>
      <c r="E1" s="68"/>
    </row>
    <row r="2" spans="1:5" x14ac:dyDescent="0.3">
      <c r="D2" s="68"/>
      <c r="E2" s="68"/>
    </row>
    <row r="3" spans="1:5" x14ac:dyDescent="0.3">
      <c r="D3" s="15" t="s">
        <v>5</v>
      </c>
      <c r="E3" s="59">
        <v>11</v>
      </c>
    </row>
    <row r="4" spans="1:5" ht="15" x14ac:dyDescent="0.3">
      <c r="A4" s="32" t="s">
        <v>2</v>
      </c>
      <c r="D4" s="15" t="s">
        <v>6</v>
      </c>
      <c r="E4" s="34" t="str">
        <f>IFERROR(VLOOKUP($E$7,'Infos Clients'!$A$3:$H$727,MATCH(FactureD!D4,'Infos Clients'!$3:$3,0),0),"")</f>
        <v/>
      </c>
    </row>
    <row r="6" spans="1:5" x14ac:dyDescent="0.3">
      <c r="C6" s="69" t="s">
        <v>3</v>
      </c>
      <c r="D6" s="69"/>
    </row>
    <row r="7" spans="1:5" ht="15" x14ac:dyDescent="0.3">
      <c r="D7" s="14" t="s">
        <v>13</v>
      </c>
      <c r="E7" s="34"/>
    </row>
    <row r="8" spans="1:5" ht="15" x14ac:dyDescent="0.35">
      <c r="D8" s="19" t="s">
        <v>14</v>
      </c>
      <c r="E8" s="34" t="str">
        <f>IFERROR(VLOOKUP($E$7,'Infos Clients'!$A$3:$H$727,MATCH(FactureD!D8,'Infos Clients'!$3:$3,0),0),"")</f>
        <v/>
      </c>
    </row>
    <row r="9" spans="1:5" ht="15" x14ac:dyDescent="0.35">
      <c r="D9" s="19" t="s">
        <v>20</v>
      </c>
      <c r="E9" s="34" t="str">
        <f>IFERROR(VLOOKUP($E$7,'Infos Clients'!$A$3:$H$727,MATCH(FactureD!D9,'Infos Clients'!$3:$3,0),0),"")</f>
        <v/>
      </c>
    </row>
    <row r="10" spans="1:5" ht="15" x14ac:dyDescent="0.35">
      <c r="D10" s="19" t="s">
        <v>21</v>
      </c>
      <c r="E10" s="34" t="str">
        <f>IFERROR(VLOOKUP($E$7,'Infos Clients'!$A$3:$H$727,MATCH(FactureD!D10,'Infos Clients'!$3:$3,0),0),"")</f>
        <v/>
      </c>
    </row>
    <row r="11" spans="1:5" ht="15" x14ac:dyDescent="0.35">
      <c r="D11" s="19" t="s">
        <v>22</v>
      </c>
      <c r="E11" s="34" t="str">
        <f>IFERROR(VLOOKUP($E$7,'Infos Clients'!$A$3:$H$727,MATCH(FactureD!D11,'Infos Clients'!$3:$3,0),0),"")</f>
        <v/>
      </c>
    </row>
    <row r="12" spans="1:5" ht="15" x14ac:dyDescent="0.35">
      <c r="D12" s="19" t="s">
        <v>23</v>
      </c>
      <c r="E12" s="34" t="str">
        <f>IFERROR(VLOOKUP($E$7,'Infos Clients'!$A$3:$H$727,MATCH(FactureD!D12,'Infos Clients'!$3:$3,0),0),"")</f>
        <v/>
      </c>
    </row>
    <row r="13" spans="1:5" ht="15.6" x14ac:dyDescent="0.3">
      <c r="A13" s="55" t="s">
        <v>4</v>
      </c>
      <c r="D13" s="34" t="s">
        <v>24</v>
      </c>
      <c r="E13" s="34" t="str">
        <f>IFERROR(VLOOKUP($E$7,'Infos Clients'!$A$3:$H$727,MATCH(FactureD!D13,'Infos Clients'!$3:$3,0),0),"")</f>
        <v/>
      </c>
    </row>
    <row r="14" spans="1:5" x14ac:dyDescent="0.3">
      <c r="A14" s="64">
        <f ca="1">TODAY()</f>
        <v>45510</v>
      </c>
    </row>
    <row r="17" spans="1:5" x14ac:dyDescent="0.3">
      <c r="A17" s="16" t="s">
        <v>7</v>
      </c>
      <c r="B17" s="17" t="s">
        <v>18</v>
      </c>
      <c r="C17" s="17" t="s">
        <v>8</v>
      </c>
      <c r="D17" s="17" t="s">
        <v>9</v>
      </c>
      <c r="E17" s="18" t="s">
        <v>10</v>
      </c>
    </row>
    <row r="18" spans="1:5" x14ac:dyDescent="0.3">
      <c r="A18" s="35"/>
      <c r="B18" s="36"/>
      <c r="C18" s="37" t="str">
        <f>IFERROR(VLOOKUP(Table_Items3[[#This Row],[Code Articles]],Articles!$A:$C,COLUMN(B1),0),"")</f>
        <v/>
      </c>
      <c r="D18" s="60" t="str">
        <f>IFERROR(VLOOKUP(Table_Items3[[#This Row],[Code Articles]],Articles!$A:$C,COLUMN(C1),0),"")</f>
        <v/>
      </c>
      <c r="E18" s="39" t="str">
        <f>IFERROR(Table_Items3[[#This Row],[Prix unitaire]]*Table_Items3[[#This Row],[Quantité]],"")</f>
        <v/>
      </c>
    </row>
    <row r="19" spans="1:5" x14ac:dyDescent="0.3">
      <c r="A19" s="40"/>
      <c r="B19" s="41"/>
      <c r="C19" s="42" t="str">
        <f>IFERROR(VLOOKUP(Table_Items3[[#This Row],[Code Articles]],Articles!$A:$C,COLUMN(B2),0),"")</f>
        <v/>
      </c>
      <c r="D19" s="60" t="str">
        <f>IFERROR(VLOOKUP(Table_Items3[[#This Row],[Code Articles]],Articles!$A:$C,COLUMN(C2),0),"")</f>
        <v/>
      </c>
      <c r="E19" s="39" t="str">
        <f>IFERROR(Table_Items3[[#This Row],[Prix unitaire]]*Table_Items3[[#This Row],[Quantité]],"")</f>
        <v/>
      </c>
    </row>
    <row r="20" spans="1:5" x14ac:dyDescent="0.3">
      <c r="A20" s="35"/>
      <c r="B20" s="36"/>
      <c r="C20" s="37" t="str">
        <f>IFERROR(VLOOKUP(Table_Items3[[#This Row],[Code Articles]],Articles!$A:$C,COLUMN(B3),0),"")</f>
        <v/>
      </c>
      <c r="D20" s="60" t="str">
        <f>IFERROR(VLOOKUP(Table_Items3[[#This Row],[Code Articles]],Articles!$A:$C,COLUMN(C3),0),"")</f>
        <v/>
      </c>
      <c r="E20" s="39" t="str">
        <f>IFERROR(Table_Items3[[#This Row],[Prix unitaire]]*Table_Items3[[#This Row],[Quantité]],"")</f>
        <v/>
      </c>
    </row>
    <row r="21" spans="1:5" x14ac:dyDescent="0.3">
      <c r="A21" s="40"/>
      <c r="B21" s="41"/>
      <c r="C21" s="42" t="str">
        <f>IFERROR(VLOOKUP(Table_Items3[[#This Row],[Code Articles]],Articles!$A:$C,COLUMN(B4),0),"")</f>
        <v/>
      </c>
      <c r="D21" s="60" t="str">
        <f>IFERROR(VLOOKUP(Table_Items3[[#This Row],[Code Articles]],Articles!$A:$C,COLUMN(C4),0),"")</f>
        <v/>
      </c>
      <c r="E21" s="39" t="str">
        <f>IFERROR(Table_Items3[[#This Row],[Prix unitaire]]*Table_Items3[[#This Row],[Quantité]],"")</f>
        <v/>
      </c>
    </row>
    <row r="22" spans="1:5" x14ac:dyDescent="0.3">
      <c r="A22" s="35"/>
      <c r="B22" s="36"/>
      <c r="C22" s="37" t="str">
        <f>IFERROR(VLOOKUP(Table_Items3[[#This Row],[Code Articles]],Articles!$A:$C,COLUMN(B5),0),"")</f>
        <v/>
      </c>
      <c r="D22" s="60" t="str">
        <f>IFERROR(VLOOKUP(Table_Items3[[#This Row],[Code Articles]],Articles!$A:$C,COLUMN(C5),0),"")</f>
        <v/>
      </c>
      <c r="E22" s="39" t="str">
        <f>IFERROR(Table_Items3[[#This Row],[Prix unitaire]]*Table_Items3[[#This Row],[Quantité]],"")</f>
        <v/>
      </c>
    </row>
    <row r="23" spans="1:5" x14ac:dyDescent="0.3">
      <c r="A23" s="40"/>
      <c r="B23" s="41"/>
      <c r="C23" s="42" t="str">
        <f>IFERROR(VLOOKUP(Table_Items3[[#This Row],[Code Articles]],Articles!$A:$C,COLUMN(B6),0),"")</f>
        <v/>
      </c>
      <c r="D23" s="60" t="str">
        <f>IFERROR(VLOOKUP(Table_Items3[[#This Row],[Code Articles]],Articles!$A:$C,COLUMN(C6),0),"")</f>
        <v/>
      </c>
      <c r="E23" s="39" t="str">
        <f>IFERROR(Table_Items3[[#This Row],[Prix unitaire]]*Table_Items3[[#This Row],[Quantité]],"")</f>
        <v/>
      </c>
    </row>
    <row r="24" spans="1:5" x14ac:dyDescent="0.3">
      <c r="A24" s="35"/>
      <c r="B24" s="36"/>
      <c r="C24" s="37" t="str">
        <f>IFERROR(VLOOKUP(Table_Items3[[#This Row],[Code Articles]],Articles!$A:$C,COLUMN(B7),0),"")</f>
        <v/>
      </c>
      <c r="D24" s="60" t="str">
        <f>IFERROR(VLOOKUP(Table_Items3[[#This Row],[Code Articles]],Articles!$A:$C,COLUMN(C7),0),"")</f>
        <v/>
      </c>
      <c r="E24" s="39" t="str">
        <f>IFERROR(Table_Items3[[#This Row],[Prix unitaire]]*Table_Items3[[#This Row],[Quantité]],"")</f>
        <v/>
      </c>
    </row>
    <row r="25" spans="1:5" x14ac:dyDescent="0.3">
      <c r="A25" s="40"/>
      <c r="B25" s="41"/>
      <c r="C25" s="42" t="str">
        <f>IFERROR(VLOOKUP(Table_Items3[[#This Row],[Code Articles]],Articles!$A:$C,COLUMN(B8),0),"")</f>
        <v/>
      </c>
      <c r="D25" s="61" t="str">
        <f>IFERROR(VLOOKUP(Table_Items3[[#This Row],[Code Articles]],Articles!$A:$C,COLUMN(C8),0),"")</f>
        <v/>
      </c>
      <c r="E25" s="39" t="str">
        <f>IFERROR(Table_Items3[[#This Row],[Prix unitaire]]*Table_Items3[[#This Row],[Quantité]],"")</f>
        <v/>
      </c>
    </row>
    <row r="26" spans="1:5" x14ac:dyDescent="0.3">
      <c r="A26" s="35"/>
      <c r="B26" s="36"/>
      <c r="C26" s="37" t="str">
        <f>IFERROR(VLOOKUP(Table_Items3[[#This Row],[Code Articles]],Articles!$A:$C,COLUMN(B9),0),"")</f>
        <v/>
      </c>
      <c r="D26" s="60" t="str">
        <f>IFERROR(VLOOKUP(Table_Items3[[#This Row],[Code Articles]],Articles!$A:$C,COLUMN(C9),0),"")</f>
        <v/>
      </c>
      <c r="E26" s="39" t="str">
        <f>IFERROR(Table_Items3[[#This Row],[Prix unitaire]]*Table_Items3[[#This Row],[Quantité]],"")</f>
        <v/>
      </c>
    </row>
    <row r="27" spans="1:5" x14ac:dyDescent="0.3">
      <c r="A27" s="40"/>
      <c r="B27" s="41"/>
      <c r="C27" s="42" t="str">
        <f>IFERROR(VLOOKUP(Table_Items3[[#This Row],[Code Articles]],Articles!$A:$C,COLUMN(B10),0),"")</f>
        <v/>
      </c>
      <c r="D27" s="61" t="str">
        <f>IFERROR(VLOOKUP(Table_Items3[[#This Row],[Code Articles]],Articles!$A:$C,COLUMN(C10),0),"")</f>
        <v/>
      </c>
      <c r="E27" s="39" t="str">
        <f>IFERROR(Table_Items3[[#This Row],[Prix unitaire]]*Table_Items3[[#This Row],[Quantité]],"")</f>
        <v/>
      </c>
    </row>
    <row r="28" spans="1:5" x14ac:dyDescent="0.3">
      <c r="A28" s="35"/>
      <c r="B28" s="36"/>
      <c r="C28" s="37" t="str">
        <f>IFERROR(VLOOKUP(Table_Items3[[#This Row],[Code Articles]],Articles!$A:$C,COLUMN(B11),0),"")</f>
        <v/>
      </c>
      <c r="D28" s="60" t="str">
        <f>IFERROR(VLOOKUP(Table_Items3[[#This Row],[Code Articles]],Articles!$A:$C,COLUMN(C11),0),"")</f>
        <v/>
      </c>
      <c r="E28" s="39" t="str">
        <f>IFERROR(Table_Items3[[#This Row],[Prix unitaire]]*Table_Items3[[#This Row],[Quantité]],"")</f>
        <v/>
      </c>
    </row>
    <row r="29" spans="1:5" x14ac:dyDescent="0.3">
      <c r="A29" s="40"/>
      <c r="B29" s="41"/>
      <c r="C29" s="42" t="str">
        <f>IFERROR(VLOOKUP(Table_Items3[[#This Row],[Code Articles]],Articles!$A:$C,COLUMN(B12),0),"")</f>
        <v/>
      </c>
      <c r="D29" s="61" t="str">
        <f>IFERROR(VLOOKUP(Table_Items3[[#This Row],[Code Articles]],Articles!$A:$C,COLUMN(C12),0),"")</f>
        <v/>
      </c>
      <c r="E29" s="39" t="str">
        <f>IFERROR(Table_Items3[[#This Row],[Prix unitaire]]*Table_Items3[[#This Row],[Quantité]],"")</f>
        <v/>
      </c>
    </row>
    <row r="30" spans="1:5" x14ac:dyDescent="0.3">
      <c r="A30" s="35"/>
      <c r="B30" s="36"/>
      <c r="C30" s="37" t="str">
        <f>IFERROR(VLOOKUP(Table_Items3[[#This Row],[Code Articles]],Articles!$A:$C,COLUMN(B13),0),"")</f>
        <v/>
      </c>
      <c r="D30" s="60" t="str">
        <f>IFERROR(VLOOKUP(Table_Items3[[#This Row],[Code Articles]],Articles!$A:$C,COLUMN(C13),0),"")</f>
        <v/>
      </c>
      <c r="E30" s="39" t="str">
        <f>IFERROR(Table_Items3[[#This Row],[Prix unitaire]]*Table_Items3[[#This Row],[Quantité]],"")</f>
        <v/>
      </c>
    </row>
    <row r="31" spans="1:5" x14ac:dyDescent="0.3">
      <c r="A31" s="40"/>
      <c r="B31" s="41"/>
      <c r="C31" s="42" t="str">
        <f>IFERROR(VLOOKUP(Table_Items3[[#This Row],[Code Articles]],Articles!$A:$C,COLUMN(B14),0),"")</f>
        <v/>
      </c>
      <c r="D31" s="61" t="str">
        <f>IFERROR(VLOOKUP(Table_Items3[[#This Row],[Code Articles]],Articles!$A:$C,COLUMN(C14),0),"")</f>
        <v/>
      </c>
      <c r="E31" s="39" t="str">
        <f>IFERROR(Table_Items3[[#This Row],[Prix unitaire]]*Table_Items3[[#This Row],[Quantité]],"")</f>
        <v/>
      </c>
    </row>
    <row r="32" spans="1:5" x14ac:dyDescent="0.3">
      <c r="A32" s="35"/>
      <c r="B32" s="36"/>
      <c r="C32" s="37" t="str">
        <f>IFERROR(VLOOKUP(Table_Items3[[#This Row],[Code Articles]],Articles!$A:$C,COLUMN(B15),0),"")</f>
        <v/>
      </c>
      <c r="D32" s="60" t="str">
        <f>IFERROR(VLOOKUP(Table_Items3[[#This Row],[Code Articles]],Articles!$A:$C,COLUMN(C15),0),"")</f>
        <v/>
      </c>
      <c r="E32" s="39" t="str">
        <f>IFERROR(Table_Items3[[#This Row],[Prix unitaire]]*Table_Items3[[#This Row],[Quantité]],"")</f>
        <v/>
      </c>
    </row>
    <row r="33" spans="1:5" x14ac:dyDescent="0.3">
      <c r="A33" s="40"/>
      <c r="B33" s="41"/>
      <c r="C33" s="42" t="str">
        <f>IFERROR(VLOOKUP(Table_Items3[[#This Row],[Code Articles]],Articles!$A:$C,COLUMN(B16),0),"")</f>
        <v/>
      </c>
      <c r="D33" s="61" t="str">
        <f>IFERROR(VLOOKUP(Table_Items3[[#This Row],[Code Articles]],Articles!$A:$C,COLUMN(C16),0),"")</f>
        <v/>
      </c>
      <c r="E33" s="39" t="str">
        <f>IFERROR(Table_Items3[[#This Row],[Prix unitaire]]*Table_Items3[[#This Row],[Quantité]],"")</f>
        <v/>
      </c>
    </row>
    <row r="34" spans="1:5" x14ac:dyDescent="0.3">
      <c r="A34" s="35"/>
      <c r="B34" s="36"/>
      <c r="C34" s="37" t="str">
        <f>IFERROR(VLOOKUP(Table_Items3[[#This Row],[Code Articles]],Articles!$A:$C,COLUMN(B17),0),"")</f>
        <v/>
      </c>
      <c r="D34" s="60" t="str">
        <f>IFERROR(VLOOKUP(Table_Items3[[#This Row],[Code Articles]],Articles!$A:$C,COLUMN(C17),0),"")</f>
        <v/>
      </c>
      <c r="E34" s="39" t="str">
        <f>IFERROR(Table_Items3[[#This Row],[Prix unitaire]]*Table_Items3[[#This Row],[Quantité]],"")</f>
        <v/>
      </c>
    </row>
    <row r="35" spans="1:5" x14ac:dyDescent="0.3">
      <c r="A35" s="40"/>
      <c r="B35" s="41"/>
      <c r="C35" s="42" t="str">
        <f>IFERROR(VLOOKUP(Table_Items3[[#This Row],[Code Articles]],Articles!$A:$C,COLUMN(B18),0),"")</f>
        <v/>
      </c>
      <c r="D35" s="61" t="str">
        <f>IFERROR(VLOOKUP(Table_Items3[[#This Row],[Code Articles]],Articles!$A:$C,COLUMN(C18),0),"")</f>
        <v/>
      </c>
      <c r="E35" s="39" t="str">
        <f>IFERROR(Table_Items3[[#This Row],[Prix unitaire]]*Table_Items3[[#This Row],[Quantité]],"")</f>
        <v/>
      </c>
    </row>
    <row r="36" spans="1:5" x14ac:dyDescent="0.3">
      <c r="A36" s="35"/>
      <c r="B36" s="36"/>
      <c r="C36" s="37" t="str">
        <f>IFERROR(VLOOKUP(Table_Items3[[#This Row],[Code Articles]],Articles!$A:$C,COLUMN(B19),0),"")</f>
        <v/>
      </c>
      <c r="D36" s="60" t="str">
        <f>IFERROR(VLOOKUP(Table_Items3[[#This Row],[Code Articles]],Articles!$A:$C,COLUMN(C19),0),"")</f>
        <v/>
      </c>
      <c r="E36" s="39" t="str">
        <f>IFERROR(Table_Items3[[#This Row],[Prix unitaire]]*Table_Items3[[#This Row],[Quantité]],"")</f>
        <v/>
      </c>
    </row>
    <row r="37" spans="1:5" x14ac:dyDescent="0.3">
      <c r="A37" s="45"/>
      <c r="B37" s="45"/>
      <c r="C37" s="46" t="str">
        <f>IFERROR(VLOOKUP(Table_Items3[[#This Row],[Code Articles]],Articles!$A:$C,COLUMN(B20),0),"")</f>
        <v/>
      </c>
      <c r="D37" s="62" t="str">
        <f>IFERROR(VLOOKUP(Table_Items3[[#This Row],[Code Articles]],Articles!$A:$C,COLUMN(C20),0),"")</f>
        <v/>
      </c>
      <c r="E37" s="39" t="str">
        <f>IFERROR(Table_Items3[[#This Row],[Prix unitaire]]*Table_Items3[[#This Row],[Quantité]],"")</f>
        <v/>
      </c>
    </row>
    <row r="38" spans="1:5" ht="15" x14ac:dyDescent="0.3">
      <c r="A38" s="2"/>
      <c r="B38" s="2"/>
      <c r="C38" s="2"/>
      <c r="D38" s="11"/>
      <c r="E38" s="2"/>
    </row>
    <row r="39" spans="1:5" ht="15" x14ac:dyDescent="0.3">
      <c r="A39" s="2"/>
      <c r="B39" s="2"/>
      <c r="C39" s="2"/>
      <c r="D39" s="12" t="s">
        <v>11</v>
      </c>
      <c r="E39" s="13">
        <f>SUM(E18:E38)</f>
        <v>0</v>
      </c>
    </row>
    <row r="40" spans="1:5" ht="15" x14ac:dyDescent="0.3">
      <c r="A40" s="2"/>
      <c r="B40" s="2"/>
      <c r="C40" s="2"/>
      <c r="D40" s="12" t="s">
        <v>15</v>
      </c>
      <c r="E40" s="58">
        <v>0.19</v>
      </c>
    </row>
    <row r="41" spans="1:5" ht="15" x14ac:dyDescent="0.3">
      <c r="A41" s="2"/>
      <c r="B41" s="2"/>
      <c r="C41" s="2"/>
      <c r="D41" s="12" t="s">
        <v>16</v>
      </c>
      <c r="E41" s="13">
        <f>E39*E40</f>
        <v>0</v>
      </c>
    </row>
    <row r="42" spans="1:5" ht="15" x14ac:dyDescent="0.3">
      <c r="A42" s="2"/>
      <c r="B42" s="2"/>
      <c r="C42" s="2" t="s">
        <v>0</v>
      </c>
      <c r="D42" s="48" t="s">
        <v>17</v>
      </c>
      <c r="E42" s="49">
        <f>E39+E41</f>
        <v>0</v>
      </c>
    </row>
    <row r="43" spans="1:5" ht="15" x14ac:dyDescent="0.3">
      <c r="A43" s="2"/>
      <c r="B43" s="2"/>
      <c r="C43" s="2"/>
      <c r="D43" s="2"/>
      <c r="E43" s="2"/>
    </row>
    <row r="44" spans="1:5" ht="15" x14ac:dyDescent="0.3">
      <c r="A44" s="67" t="s">
        <v>2098</v>
      </c>
      <c r="B44" s="67"/>
      <c r="C44" s="67"/>
      <c r="D44" s="67"/>
      <c r="E44" s="67"/>
    </row>
    <row r="45" spans="1:5" ht="15" x14ac:dyDescent="0.3">
      <c r="A45" s="67" t="s">
        <v>12</v>
      </c>
      <c r="B45" s="67"/>
      <c r="C45" s="67"/>
      <c r="D45" s="67"/>
      <c r="E45" s="67"/>
    </row>
  </sheetData>
  <mergeCells count="4">
    <mergeCell ref="D1:E2"/>
    <mergeCell ref="C6:D6"/>
    <mergeCell ref="A44:E44"/>
    <mergeCell ref="A45:E45"/>
  </mergeCells>
  <dataValidations count="1">
    <dataValidation allowBlank="1" showInputMessage="1" showErrorMessage="1" prompt="Entrez le nom de votre entreprise. _x000a_Entrez les coordonnées de votre entreprise ci-dessous." sqref="A4" xr:uid="{5BADC4AC-9F94-4304-8218-3EAA86625CB2}"/>
  </dataValidations>
  <pageMargins left="0.7" right="0.7" top="0.75" bottom="0.75" header="0.3" footer="0.3"/>
  <pageSetup paperSize="9"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Export_Pdf">
                <anchor moveWithCells="1" sizeWithCells="1">
                  <from>
                    <xdr:col>6</xdr:col>
                    <xdr:colOff>7620</xdr:colOff>
                    <xdr:row>1</xdr:row>
                    <xdr:rowOff>175260</xdr:rowOff>
                  </from>
                  <to>
                    <xdr:col>7</xdr:col>
                    <xdr:colOff>411480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Sauvegarder">
                <anchor moveWithCells="1" sizeWithCells="1">
                  <from>
                    <xdr:col>6</xdr:col>
                    <xdr:colOff>0</xdr:colOff>
                    <xdr:row>7</xdr:row>
                    <xdr:rowOff>7620</xdr:rowOff>
                  </from>
                  <to>
                    <xdr:col>7</xdr:col>
                    <xdr:colOff>457200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84D0CD-6086-4448-99AF-384F00E9B09B}">
          <x14:formula1>
            <xm:f>'Infos Clients'!$A$4:$A$727</xm:f>
          </x14:formula1>
          <xm:sqref>E7</xm:sqref>
        </x14:dataValidation>
        <x14:dataValidation type="list" allowBlank="1" showInputMessage="1" showErrorMessage="1" xr:uid="{4BD0019B-0D6D-4B8F-BD6F-17B79143BFC9}">
          <x14:formula1>
            <xm:f>Articles!$A$4:$A$22</xm:f>
          </x14:formula1>
          <xm:sqref>B18:B37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A7F7-EAC8-46D8-96E5-B945FF3C70E3}">
  <sheetPr codeName="Feuil4">
    <tabColor theme="9" tint="-0.499984740745262"/>
  </sheetPr>
  <dimension ref="A1:J713"/>
  <sheetViews>
    <sheetView workbookViewId="0">
      <selection activeCell="C16" sqref="C16"/>
    </sheetView>
  </sheetViews>
  <sheetFormatPr baseColWidth="10" defaultColWidth="11.44140625" defaultRowHeight="13.8" x14ac:dyDescent="0.3"/>
  <cols>
    <col min="1" max="1" width="17.44140625" style="23" customWidth="1"/>
    <col min="2" max="2" width="29" style="23" customWidth="1"/>
    <col min="3" max="3" width="32.77734375" style="26" customWidth="1"/>
    <col min="4" max="4" width="18.5546875" style="26" customWidth="1"/>
    <col min="5" max="5" width="15.33203125" style="22" customWidth="1"/>
    <col min="6" max="6" width="18.109375" style="22" customWidth="1"/>
    <col min="7" max="7" width="17.44140625" style="30" customWidth="1"/>
    <col min="8" max="8" width="21.21875" style="22" customWidth="1"/>
    <col min="9" max="10" width="17.44140625" style="22" customWidth="1"/>
    <col min="11" max="16384" width="11.44140625" style="22"/>
  </cols>
  <sheetData>
    <row r="1" spans="1:10" ht="16.2" x14ac:dyDescent="0.35">
      <c r="A1" s="54" t="s">
        <v>2094</v>
      </c>
      <c r="B1" s="50"/>
      <c r="C1" s="51"/>
      <c r="D1" s="51"/>
      <c r="E1" s="52"/>
      <c r="F1" s="52"/>
      <c r="G1" s="53"/>
      <c r="H1" s="52"/>
      <c r="I1" s="52"/>
      <c r="J1" s="52"/>
    </row>
    <row r="3" spans="1:10" x14ac:dyDescent="0.3">
      <c r="A3" s="28" t="s">
        <v>2087</v>
      </c>
      <c r="B3" s="28" t="s">
        <v>19</v>
      </c>
      <c r="C3" s="28" t="s">
        <v>2088</v>
      </c>
      <c r="D3" s="28" t="s">
        <v>2090</v>
      </c>
      <c r="E3" s="28" t="s">
        <v>2089</v>
      </c>
      <c r="F3" s="28" t="s">
        <v>2097</v>
      </c>
      <c r="G3" s="28" t="s">
        <v>2091</v>
      </c>
      <c r="H3" s="28" t="s">
        <v>2092</v>
      </c>
      <c r="I3" s="28" t="s">
        <v>16</v>
      </c>
      <c r="J3" s="28" t="s">
        <v>2093</v>
      </c>
    </row>
    <row r="4" spans="1:10" x14ac:dyDescent="0.3">
      <c r="A4" s="63">
        <v>45498</v>
      </c>
      <c r="B4" s="23" t="s">
        <v>25</v>
      </c>
      <c r="C4" s="26" t="s">
        <v>26</v>
      </c>
      <c r="D4" s="65">
        <v>45498</v>
      </c>
      <c r="E4" s="23">
        <v>8</v>
      </c>
      <c r="F4" s="23">
        <v>20</v>
      </c>
      <c r="G4" s="26"/>
      <c r="H4" s="66">
        <v>2.4300000000000002</v>
      </c>
      <c r="I4" s="23">
        <v>0.19</v>
      </c>
      <c r="J4" s="66">
        <v>0.46</v>
      </c>
    </row>
    <row r="5" spans="1:10" x14ac:dyDescent="0.3">
      <c r="A5" s="63">
        <v>45501</v>
      </c>
      <c r="B5" s="23" t="s">
        <v>25</v>
      </c>
      <c r="C5" s="26" t="s">
        <v>26</v>
      </c>
      <c r="D5" s="65">
        <v>45501</v>
      </c>
      <c r="E5" s="23">
        <v>9</v>
      </c>
      <c r="F5" s="23">
        <v>20</v>
      </c>
      <c r="G5" s="26"/>
      <c r="H5" s="66">
        <v>2.4300000000000002</v>
      </c>
      <c r="I5" s="23">
        <v>0.19</v>
      </c>
      <c r="J5" s="66">
        <v>0.46</v>
      </c>
    </row>
    <row r="6" spans="1:10" x14ac:dyDescent="0.3">
      <c r="A6" s="63">
        <v>45501</v>
      </c>
      <c r="B6" s="23" t="s">
        <v>31</v>
      </c>
      <c r="C6" s="26" t="s">
        <v>32</v>
      </c>
      <c r="D6" s="65">
        <v>45501</v>
      </c>
      <c r="E6" s="23">
        <v>10</v>
      </c>
      <c r="F6" s="23">
        <v>20</v>
      </c>
      <c r="G6" s="26"/>
      <c r="H6" s="66">
        <v>2.4300000000000002</v>
      </c>
      <c r="I6" s="23">
        <v>0.19</v>
      </c>
      <c r="J6" s="66">
        <v>0.46</v>
      </c>
    </row>
    <row r="7" spans="1:10" x14ac:dyDescent="0.3">
      <c r="A7" s="63"/>
      <c r="D7" s="65"/>
      <c r="E7" s="23"/>
      <c r="F7" s="23"/>
      <c r="G7" s="26"/>
      <c r="H7" s="66"/>
      <c r="I7" s="23"/>
      <c r="J7" s="66"/>
    </row>
    <row r="8" spans="1:10" x14ac:dyDescent="0.3">
      <c r="A8" s="63"/>
      <c r="D8" s="65"/>
      <c r="E8" s="23"/>
      <c r="F8" s="23"/>
      <c r="G8" s="26"/>
      <c r="H8" s="66"/>
      <c r="I8" s="23"/>
      <c r="J8" s="66"/>
    </row>
    <row r="9" spans="1:10" x14ac:dyDescent="0.3">
      <c r="A9" s="63"/>
      <c r="D9" s="65"/>
      <c r="E9" s="23"/>
      <c r="F9" s="23"/>
      <c r="G9" s="26"/>
      <c r="H9" s="66"/>
      <c r="I9" s="23"/>
      <c r="J9" s="66"/>
    </row>
    <row r="10" spans="1:10" x14ac:dyDescent="0.3">
      <c r="A10" s="63"/>
      <c r="D10" s="65"/>
      <c r="E10" s="23"/>
      <c r="F10" s="23"/>
      <c r="G10" s="26"/>
      <c r="H10" s="66"/>
      <c r="I10" s="23"/>
      <c r="J10" s="66"/>
    </row>
    <row r="11" spans="1:10" x14ac:dyDescent="0.3">
      <c r="A11" s="63"/>
      <c r="D11" s="65"/>
      <c r="E11" s="23"/>
      <c r="F11" s="23"/>
      <c r="G11" s="26"/>
      <c r="H11" s="66"/>
      <c r="I11" s="23"/>
      <c r="J11" s="66"/>
    </row>
    <row r="12" spans="1:10" x14ac:dyDescent="0.3">
      <c r="A12" s="63"/>
      <c r="D12" s="65"/>
      <c r="E12" s="23"/>
      <c r="F12" s="23"/>
      <c r="G12" s="26"/>
      <c r="H12" s="66"/>
      <c r="I12" s="23"/>
      <c r="J12" s="66"/>
    </row>
    <row r="13" spans="1:10" x14ac:dyDescent="0.3">
      <c r="A13" s="63"/>
      <c r="D13" s="65"/>
      <c r="E13" s="23"/>
      <c r="F13" s="23"/>
      <c r="G13" s="26"/>
      <c r="H13" s="66"/>
      <c r="I13" s="23"/>
      <c r="J13" s="66"/>
    </row>
    <row r="14" spans="1:10" x14ac:dyDescent="0.3">
      <c r="A14" s="63"/>
      <c r="D14" s="65"/>
      <c r="E14" s="23"/>
      <c r="F14" s="23"/>
      <c r="G14" s="26"/>
      <c r="H14" s="66"/>
      <c r="I14" s="23"/>
      <c r="J14" s="66"/>
    </row>
    <row r="15" spans="1:10" x14ac:dyDescent="0.3">
      <c r="A15" s="63"/>
      <c r="D15" s="65"/>
      <c r="E15" s="23"/>
      <c r="F15" s="23"/>
      <c r="G15" s="26"/>
      <c r="H15" s="66"/>
      <c r="I15" s="23"/>
      <c r="J15" s="66"/>
    </row>
    <row r="16" spans="1:10" x14ac:dyDescent="0.3">
      <c r="A16" s="63"/>
      <c r="D16" s="65"/>
      <c r="E16" s="23"/>
      <c r="F16" s="23"/>
      <c r="G16" s="26"/>
      <c r="H16" s="66"/>
      <c r="I16" s="23"/>
      <c r="J16" s="66"/>
    </row>
    <row r="17" spans="1:10" x14ac:dyDescent="0.3">
      <c r="A17" s="63"/>
      <c r="D17" s="65"/>
      <c r="E17" s="23"/>
      <c r="F17" s="23"/>
      <c r="G17" s="26"/>
      <c r="H17" s="66"/>
      <c r="I17" s="23"/>
      <c r="J17" s="66"/>
    </row>
    <row r="18" spans="1:10" x14ac:dyDescent="0.3">
      <c r="A18" s="63"/>
      <c r="D18" s="65"/>
      <c r="E18" s="23"/>
      <c r="F18" s="23"/>
      <c r="G18" s="26"/>
      <c r="H18" s="66"/>
      <c r="I18" s="23"/>
      <c r="J18" s="66"/>
    </row>
    <row r="19" spans="1:10" x14ac:dyDescent="0.3">
      <c r="A19" s="63"/>
      <c r="D19" s="65"/>
      <c r="E19" s="23"/>
      <c r="F19" s="23"/>
      <c r="G19" s="26"/>
      <c r="H19" s="66"/>
      <c r="I19" s="23"/>
      <c r="J19" s="66"/>
    </row>
    <row r="20" spans="1:10" x14ac:dyDescent="0.3">
      <c r="A20" s="63"/>
      <c r="D20" s="65"/>
      <c r="E20" s="23"/>
      <c r="F20" s="23"/>
      <c r="G20" s="26"/>
      <c r="H20" s="66"/>
      <c r="I20" s="23"/>
      <c r="J20" s="66"/>
    </row>
    <row r="21" spans="1:10" x14ac:dyDescent="0.3">
      <c r="A21" s="63"/>
      <c r="D21" s="65"/>
      <c r="E21" s="23"/>
      <c r="F21" s="23"/>
      <c r="G21" s="26"/>
      <c r="H21" s="66"/>
      <c r="I21" s="23"/>
      <c r="J21" s="66"/>
    </row>
    <row r="22" spans="1:10" x14ac:dyDescent="0.3">
      <c r="A22" s="63"/>
      <c r="C22" s="29"/>
      <c r="D22" s="29"/>
      <c r="E22" s="23"/>
      <c r="F22" s="23"/>
      <c r="G22" s="26"/>
      <c r="H22" s="66"/>
      <c r="I22" s="23"/>
      <c r="J22" s="66"/>
    </row>
    <row r="23" spans="1:10" x14ac:dyDescent="0.3">
      <c r="A23" s="63"/>
      <c r="D23" s="65"/>
      <c r="E23" s="23"/>
      <c r="F23" s="23"/>
      <c r="G23" s="26"/>
      <c r="H23" s="66"/>
      <c r="I23" s="23"/>
      <c r="J23" s="66"/>
    </row>
    <row r="24" spans="1:10" x14ac:dyDescent="0.3">
      <c r="E24" s="23"/>
      <c r="F24" s="23"/>
      <c r="G24" s="26"/>
      <c r="H24" s="23"/>
      <c r="I24" s="23"/>
      <c r="J24" s="23"/>
    </row>
    <row r="25" spans="1:10" x14ac:dyDescent="0.3">
      <c r="E25" s="23"/>
      <c r="F25" s="23"/>
      <c r="G25" s="26"/>
      <c r="H25" s="23"/>
      <c r="I25" s="23"/>
      <c r="J25" s="23"/>
    </row>
    <row r="26" spans="1:10" x14ac:dyDescent="0.3">
      <c r="E26" s="23"/>
      <c r="F26" s="23"/>
      <c r="G26" s="26"/>
      <c r="H26" s="23"/>
      <c r="I26" s="23"/>
      <c r="J26" s="23"/>
    </row>
    <row r="27" spans="1:10" x14ac:dyDescent="0.3">
      <c r="C27" s="29"/>
      <c r="D27" s="29"/>
      <c r="E27" s="23"/>
      <c r="F27" s="23"/>
      <c r="G27" s="26"/>
      <c r="H27" s="23"/>
      <c r="I27" s="23"/>
      <c r="J27" s="23"/>
    </row>
    <row r="28" spans="1:10" x14ac:dyDescent="0.3">
      <c r="E28" s="23"/>
      <c r="F28" s="23"/>
      <c r="G28" s="26"/>
      <c r="H28" s="23"/>
      <c r="I28" s="23"/>
      <c r="J28" s="23"/>
    </row>
    <row r="29" spans="1:10" x14ac:dyDescent="0.3">
      <c r="E29" s="23"/>
      <c r="F29" s="23"/>
      <c r="G29" s="26"/>
      <c r="H29" s="23"/>
      <c r="I29" s="23"/>
      <c r="J29" s="23"/>
    </row>
    <row r="30" spans="1:10" x14ac:dyDescent="0.3">
      <c r="E30" s="23"/>
      <c r="F30" s="23"/>
      <c r="G30" s="26"/>
      <c r="H30" s="23"/>
      <c r="I30" s="23"/>
      <c r="J30" s="23"/>
    </row>
    <row r="31" spans="1:10" x14ac:dyDescent="0.3">
      <c r="E31" s="23"/>
      <c r="F31" s="23"/>
      <c r="G31" s="26"/>
      <c r="H31" s="23"/>
      <c r="I31" s="23"/>
      <c r="J31" s="23"/>
    </row>
    <row r="32" spans="1:10" x14ac:dyDescent="0.3">
      <c r="E32" s="23"/>
      <c r="F32" s="23"/>
      <c r="G32" s="26"/>
      <c r="H32" s="23"/>
      <c r="I32" s="23"/>
      <c r="J32" s="23"/>
    </row>
    <row r="33" spans="5:10" x14ac:dyDescent="0.3">
      <c r="E33" s="23"/>
      <c r="F33" s="23"/>
      <c r="G33" s="26"/>
      <c r="H33" s="23"/>
      <c r="I33" s="23"/>
      <c r="J33" s="23"/>
    </row>
    <row r="34" spans="5:10" x14ac:dyDescent="0.3">
      <c r="E34" s="23"/>
      <c r="F34" s="23"/>
      <c r="G34" s="26"/>
      <c r="H34" s="23"/>
      <c r="I34" s="23"/>
      <c r="J34" s="23"/>
    </row>
    <row r="35" spans="5:10" x14ac:dyDescent="0.3">
      <c r="E35" s="23"/>
      <c r="F35" s="23"/>
      <c r="G35" s="26"/>
      <c r="H35" s="23"/>
      <c r="I35" s="23"/>
      <c r="J35" s="23"/>
    </row>
    <row r="36" spans="5:10" x14ac:dyDescent="0.3">
      <c r="E36" s="23"/>
      <c r="F36" s="23"/>
      <c r="G36" s="26"/>
      <c r="H36" s="23"/>
      <c r="I36" s="23"/>
      <c r="J36" s="23"/>
    </row>
    <row r="37" spans="5:10" x14ac:dyDescent="0.3">
      <c r="E37" s="23"/>
      <c r="F37" s="23"/>
      <c r="G37" s="26"/>
      <c r="H37" s="23"/>
      <c r="I37" s="23"/>
      <c r="J37" s="23"/>
    </row>
    <row r="38" spans="5:10" x14ac:dyDescent="0.3">
      <c r="E38" s="23"/>
      <c r="F38" s="23"/>
      <c r="G38" s="26"/>
      <c r="H38" s="23"/>
      <c r="I38" s="23"/>
      <c r="J38" s="23"/>
    </row>
    <row r="39" spans="5:10" x14ac:dyDescent="0.3">
      <c r="E39" s="23"/>
      <c r="F39" s="23"/>
      <c r="G39" s="26"/>
      <c r="H39" s="23"/>
      <c r="I39" s="23"/>
      <c r="J39" s="23"/>
    </row>
    <row r="40" spans="5:10" x14ac:dyDescent="0.3">
      <c r="E40" s="23"/>
      <c r="F40" s="23"/>
      <c r="G40" s="26"/>
      <c r="H40" s="23"/>
      <c r="I40" s="23"/>
      <c r="J40" s="23"/>
    </row>
    <row r="41" spans="5:10" x14ac:dyDescent="0.3">
      <c r="E41" s="23"/>
      <c r="F41" s="23"/>
      <c r="G41" s="26"/>
      <c r="H41" s="23"/>
      <c r="I41" s="23"/>
      <c r="J41" s="23"/>
    </row>
    <row r="42" spans="5:10" x14ac:dyDescent="0.3">
      <c r="E42" s="23"/>
      <c r="F42" s="23"/>
      <c r="G42" s="26"/>
      <c r="H42" s="23"/>
      <c r="I42" s="23"/>
      <c r="J42" s="23"/>
    </row>
    <row r="43" spans="5:10" x14ac:dyDescent="0.3">
      <c r="E43" s="23"/>
      <c r="F43" s="23"/>
      <c r="G43" s="26"/>
      <c r="H43" s="23"/>
      <c r="I43" s="23"/>
      <c r="J43" s="23"/>
    </row>
    <row r="44" spans="5:10" x14ac:dyDescent="0.3">
      <c r="E44" s="23"/>
      <c r="F44" s="23"/>
      <c r="G44" s="26"/>
      <c r="H44" s="23"/>
      <c r="I44" s="23"/>
      <c r="J44" s="23"/>
    </row>
    <row r="45" spans="5:10" x14ac:dyDescent="0.3">
      <c r="E45" s="23"/>
      <c r="F45" s="23"/>
      <c r="G45" s="26"/>
      <c r="H45" s="23"/>
      <c r="I45" s="23"/>
      <c r="J45" s="23"/>
    </row>
    <row r="46" spans="5:10" x14ac:dyDescent="0.3">
      <c r="E46" s="23"/>
      <c r="F46" s="23"/>
      <c r="G46" s="26"/>
      <c r="H46" s="23"/>
      <c r="I46" s="23"/>
      <c r="J46" s="23"/>
    </row>
    <row r="47" spans="5:10" x14ac:dyDescent="0.3">
      <c r="E47" s="23"/>
      <c r="F47" s="23"/>
      <c r="G47" s="26"/>
      <c r="H47" s="23"/>
      <c r="I47" s="23"/>
      <c r="J47" s="23"/>
    </row>
    <row r="48" spans="5:10" x14ac:dyDescent="0.3">
      <c r="E48" s="23"/>
      <c r="F48" s="23"/>
      <c r="G48" s="26"/>
      <c r="H48" s="23"/>
      <c r="I48" s="23"/>
      <c r="J48" s="23"/>
    </row>
    <row r="49" spans="5:10" x14ac:dyDescent="0.3">
      <c r="E49" s="23"/>
      <c r="F49" s="23"/>
      <c r="G49" s="26"/>
      <c r="H49" s="23"/>
      <c r="I49" s="23"/>
      <c r="J49" s="23"/>
    </row>
    <row r="50" spans="5:10" x14ac:dyDescent="0.3">
      <c r="E50" s="23"/>
      <c r="F50" s="23"/>
      <c r="G50" s="26"/>
      <c r="H50" s="23"/>
      <c r="I50" s="23"/>
      <c r="J50" s="23"/>
    </row>
    <row r="51" spans="5:10" x14ac:dyDescent="0.3">
      <c r="E51" s="23"/>
      <c r="F51" s="23"/>
      <c r="G51" s="26"/>
      <c r="H51" s="23"/>
      <c r="I51" s="23"/>
      <c r="J51" s="23"/>
    </row>
    <row r="52" spans="5:10" x14ac:dyDescent="0.3">
      <c r="E52" s="23"/>
      <c r="F52" s="23"/>
      <c r="G52" s="26"/>
      <c r="H52" s="23"/>
      <c r="I52" s="23"/>
      <c r="J52" s="23"/>
    </row>
    <row r="53" spans="5:10" x14ac:dyDescent="0.3">
      <c r="E53" s="23"/>
      <c r="F53" s="23"/>
      <c r="G53" s="26"/>
      <c r="H53" s="23"/>
      <c r="I53" s="23"/>
      <c r="J53" s="23"/>
    </row>
    <row r="54" spans="5:10" x14ac:dyDescent="0.3">
      <c r="E54" s="23"/>
      <c r="F54" s="23"/>
      <c r="G54" s="26"/>
      <c r="H54" s="23"/>
      <c r="I54" s="23"/>
      <c r="J54" s="23"/>
    </row>
    <row r="55" spans="5:10" x14ac:dyDescent="0.3">
      <c r="E55" s="23"/>
      <c r="F55" s="23"/>
      <c r="G55" s="26"/>
      <c r="H55" s="23"/>
      <c r="I55" s="23"/>
      <c r="J55" s="23"/>
    </row>
    <row r="56" spans="5:10" x14ac:dyDescent="0.3">
      <c r="E56" s="23"/>
      <c r="F56" s="23"/>
      <c r="G56" s="26"/>
      <c r="H56" s="23"/>
      <c r="I56" s="23"/>
      <c r="J56" s="23"/>
    </row>
    <row r="57" spans="5:10" x14ac:dyDescent="0.3">
      <c r="E57" s="23"/>
      <c r="F57" s="23"/>
      <c r="G57" s="26"/>
      <c r="H57" s="23"/>
      <c r="I57" s="23"/>
      <c r="J57" s="23"/>
    </row>
    <row r="58" spans="5:10" x14ac:dyDescent="0.3">
      <c r="E58" s="23"/>
      <c r="F58" s="23"/>
      <c r="G58" s="26"/>
      <c r="H58" s="23"/>
      <c r="I58" s="23"/>
      <c r="J58" s="23"/>
    </row>
    <row r="59" spans="5:10" x14ac:dyDescent="0.3">
      <c r="E59" s="23"/>
      <c r="F59" s="23"/>
      <c r="G59" s="26"/>
      <c r="H59" s="23"/>
      <c r="I59" s="23"/>
      <c r="J59" s="23"/>
    </row>
    <row r="60" spans="5:10" x14ac:dyDescent="0.3">
      <c r="E60" s="23"/>
      <c r="F60" s="23"/>
      <c r="G60" s="26"/>
      <c r="H60" s="23"/>
      <c r="I60" s="23"/>
      <c r="J60" s="23"/>
    </row>
    <row r="61" spans="5:10" x14ac:dyDescent="0.3">
      <c r="E61" s="23"/>
      <c r="F61" s="23"/>
      <c r="G61" s="26"/>
      <c r="H61" s="23"/>
      <c r="I61" s="23"/>
      <c r="J61" s="23"/>
    </row>
    <row r="62" spans="5:10" x14ac:dyDescent="0.3">
      <c r="E62" s="23"/>
      <c r="F62" s="23"/>
      <c r="G62" s="26"/>
      <c r="H62" s="23"/>
      <c r="I62" s="23"/>
      <c r="J62" s="23"/>
    </row>
    <row r="63" spans="5:10" x14ac:dyDescent="0.3">
      <c r="E63" s="23"/>
      <c r="F63" s="23"/>
      <c r="G63" s="26"/>
      <c r="H63" s="23"/>
      <c r="I63" s="23"/>
      <c r="J63" s="23"/>
    </row>
    <row r="64" spans="5:10" x14ac:dyDescent="0.3">
      <c r="E64" s="23"/>
      <c r="F64" s="23"/>
      <c r="G64" s="26"/>
      <c r="H64" s="23"/>
      <c r="I64" s="23"/>
      <c r="J64" s="23"/>
    </row>
    <row r="65" spans="5:10" x14ac:dyDescent="0.3">
      <c r="E65" s="23"/>
      <c r="F65" s="23"/>
      <c r="G65" s="26"/>
      <c r="H65" s="23"/>
      <c r="I65" s="23"/>
      <c r="J65" s="23"/>
    </row>
    <row r="66" spans="5:10" x14ac:dyDescent="0.3">
      <c r="E66" s="23"/>
      <c r="F66" s="23"/>
      <c r="G66" s="26"/>
      <c r="H66" s="23"/>
      <c r="I66" s="23"/>
      <c r="J66" s="23"/>
    </row>
    <row r="67" spans="5:10" x14ac:dyDescent="0.3">
      <c r="E67" s="23"/>
      <c r="F67" s="23"/>
      <c r="G67" s="26"/>
      <c r="H67" s="23"/>
      <c r="I67" s="23"/>
      <c r="J67" s="23"/>
    </row>
    <row r="68" spans="5:10" x14ac:dyDescent="0.3">
      <c r="E68" s="23"/>
      <c r="F68" s="23"/>
      <c r="G68" s="26"/>
      <c r="H68" s="23"/>
      <c r="I68" s="23"/>
      <c r="J68" s="23"/>
    </row>
    <row r="69" spans="5:10" x14ac:dyDescent="0.3">
      <c r="E69" s="23"/>
      <c r="F69" s="23"/>
      <c r="G69" s="26"/>
      <c r="H69" s="23"/>
      <c r="I69" s="23"/>
      <c r="J69" s="23"/>
    </row>
    <row r="70" spans="5:10" x14ac:dyDescent="0.3">
      <c r="E70" s="23"/>
      <c r="F70" s="23"/>
      <c r="G70" s="26"/>
      <c r="H70" s="23"/>
      <c r="I70" s="23"/>
      <c r="J70" s="23"/>
    </row>
    <row r="71" spans="5:10" x14ac:dyDescent="0.3">
      <c r="E71" s="23"/>
      <c r="F71" s="23"/>
      <c r="G71" s="26"/>
      <c r="H71" s="23"/>
      <c r="I71" s="23"/>
      <c r="J71" s="23"/>
    </row>
    <row r="72" spans="5:10" x14ac:dyDescent="0.3">
      <c r="E72" s="23"/>
      <c r="F72" s="23"/>
      <c r="G72" s="26"/>
      <c r="H72" s="23"/>
      <c r="I72" s="23"/>
      <c r="J72" s="23"/>
    </row>
    <row r="73" spans="5:10" x14ac:dyDescent="0.3">
      <c r="E73" s="23"/>
      <c r="F73" s="23"/>
      <c r="G73" s="26"/>
      <c r="H73" s="23"/>
      <c r="I73" s="23"/>
      <c r="J73" s="23"/>
    </row>
    <row r="74" spans="5:10" x14ac:dyDescent="0.3">
      <c r="E74" s="23"/>
      <c r="F74" s="23"/>
      <c r="G74" s="26"/>
      <c r="H74" s="23"/>
      <c r="I74" s="23"/>
      <c r="J74" s="23"/>
    </row>
    <row r="75" spans="5:10" x14ac:dyDescent="0.3">
      <c r="E75" s="23"/>
      <c r="F75" s="23"/>
      <c r="G75" s="26"/>
      <c r="H75" s="23"/>
      <c r="I75" s="23"/>
      <c r="J75" s="23"/>
    </row>
    <row r="76" spans="5:10" x14ac:dyDescent="0.3">
      <c r="E76" s="23"/>
      <c r="F76" s="23"/>
      <c r="G76" s="26"/>
      <c r="H76" s="23"/>
      <c r="I76" s="23"/>
      <c r="J76" s="23"/>
    </row>
    <row r="77" spans="5:10" x14ac:dyDescent="0.3">
      <c r="E77" s="23"/>
      <c r="F77" s="23"/>
      <c r="G77" s="26"/>
      <c r="H77" s="23"/>
      <c r="I77" s="23"/>
      <c r="J77" s="23"/>
    </row>
    <row r="78" spans="5:10" x14ac:dyDescent="0.3">
      <c r="E78" s="23"/>
      <c r="F78" s="23"/>
      <c r="G78" s="26"/>
      <c r="H78" s="23"/>
      <c r="I78" s="23"/>
      <c r="J78" s="23"/>
    </row>
    <row r="79" spans="5:10" x14ac:dyDescent="0.3">
      <c r="E79" s="23"/>
      <c r="F79" s="23"/>
      <c r="G79" s="26"/>
      <c r="H79" s="23"/>
      <c r="I79" s="23"/>
      <c r="J79" s="23"/>
    </row>
    <row r="80" spans="5:10" x14ac:dyDescent="0.3">
      <c r="E80" s="23"/>
      <c r="F80" s="23"/>
      <c r="G80" s="26"/>
      <c r="H80" s="23"/>
      <c r="I80" s="23"/>
      <c r="J80" s="23"/>
    </row>
    <row r="81" spans="3:10" x14ac:dyDescent="0.3">
      <c r="E81" s="23"/>
      <c r="F81" s="23"/>
      <c r="G81" s="26"/>
      <c r="H81" s="23"/>
      <c r="I81" s="23"/>
      <c r="J81" s="23"/>
    </row>
    <row r="82" spans="3:10" x14ac:dyDescent="0.3">
      <c r="E82" s="23"/>
      <c r="F82" s="23"/>
      <c r="G82" s="26"/>
      <c r="H82" s="23"/>
      <c r="I82" s="23"/>
      <c r="J82" s="23"/>
    </row>
    <row r="83" spans="3:10" x14ac:dyDescent="0.3">
      <c r="E83" s="23"/>
      <c r="F83" s="23"/>
      <c r="G83" s="26"/>
      <c r="H83" s="23"/>
      <c r="I83" s="23"/>
      <c r="J83" s="23"/>
    </row>
    <row r="84" spans="3:10" x14ac:dyDescent="0.3">
      <c r="E84" s="23"/>
      <c r="F84" s="23"/>
      <c r="G84" s="26"/>
      <c r="H84" s="23"/>
      <c r="I84" s="23"/>
      <c r="J84" s="23"/>
    </row>
    <row r="85" spans="3:10" x14ac:dyDescent="0.3">
      <c r="C85" s="29"/>
      <c r="D85" s="29"/>
      <c r="E85" s="23"/>
      <c r="F85" s="23"/>
      <c r="G85" s="26"/>
      <c r="H85" s="23"/>
      <c r="I85" s="23"/>
      <c r="J85" s="23"/>
    </row>
    <row r="86" spans="3:10" x14ac:dyDescent="0.3">
      <c r="E86" s="23"/>
      <c r="F86" s="23"/>
      <c r="G86" s="26"/>
      <c r="H86" s="23"/>
      <c r="I86" s="23"/>
      <c r="J86" s="23"/>
    </row>
    <row r="87" spans="3:10" x14ac:dyDescent="0.3">
      <c r="E87" s="23"/>
      <c r="F87" s="23"/>
      <c r="G87" s="26"/>
      <c r="H87" s="23"/>
      <c r="I87" s="23"/>
      <c r="J87" s="23"/>
    </row>
    <row r="88" spans="3:10" x14ac:dyDescent="0.3">
      <c r="E88" s="23"/>
      <c r="F88" s="23"/>
      <c r="G88" s="26"/>
      <c r="H88" s="23"/>
      <c r="I88" s="23"/>
      <c r="J88" s="23"/>
    </row>
    <row r="89" spans="3:10" x14ac:dyDescent="0.3">
      <c r="E89" s="23"/>
      <c r="F89" s="23"/>
      <c r="G89" s="26"/>
      <c r="H89" s="23"/>
      <c r="I89" s="23"/>
      <c r="J89" s="23"/>
    </row>
    <row r="90" spans="3:10" x14ac:dyDescent="0.3">
      <c r="E90" s="23"/>
      <c r="F90" s="23"/>
      <c r="G90" s="26"/>
      <c r="H90" s="23"/>
      <c r="I90" s="23"/>
      <c r="J90" s="23"/>
    </row>
    <row r="91" spans="3:10" x14ac:dyDescent="0.3">
      <c r="E91" s="23"/>
      <c r="F91" s="23"/>
      <c r="G91" s="26"/>
      <c r="H91" s="23"/>
      <c r="I91" s="23"/>
      <c r="J91" s="23"/>
    </row>
    <row r="92" spans="3:10" x14ac:dyDescent="0.3">
      <c r="E92" s="23"/>
      <c r="F92" s="23"/>
      <c r="G92" s="26"/>
      <c r="H92" s="23"/>
      <c r="I92" s="23"/>
      <c r="J92" s="23"/>
    </row>
    <row r="93" spans="3:10" x14ac:dyDescent="0.3">
      <c r="E93" s="23"/>
      <c r="F93" s="23"/>
      <c r="G93" s="26"/>
      <c r="H93" s="23"/>
      <c r="I93" s="23"/>
      <c r="J93" s="23"/>
    </row>
    <row r="94" spans="3:10" x14ac:dyDescent="0.3">
      <c r="E94" s="23"/>
      <c r="F94" s="23"/>
      <c r="G94" s="26"/>
      <c r="H94" s="23"/>
      <c r="I94" s="23"/>
      <c r="J94" s="23"/>
    </row>
    <row r="95" spans="3:10" x14ac:dyDescent="0.3">
      <c r="E95" s="23"/>
      <c r="F95" s="23"/>
      <c r="G95" s="26"/>
      <c r="H95" s="23"/>
      <c r="I95" s="23"/>
      <c r="J95" s="23"/>
    </row>
    <row r="96" spans="3:10" x14ac:dyDescent="0.3">
      <c r="E96" s="23"/>
      <c r="F96" s="23"/>
      <c r="G96" s="26"/>
      <c r="H96" s="23"/>
      <c r="I96" s="23"/>
      <c r="J96" s="23"/>
    </row>
    <row r="97" spans="3:10" x14ac:dyDescent="0.3">
      <c r="E97" s="23"/>
      <c r="F97" s="23"/>
      <c r="G97" s="26"/>
      <c r="H97" s="23"/>
      <c r="I97" s="23"/>
      <c r="J97" s="23"/>
    </row>
    <row r="98" spans="3:10" x14ac:dyDescent="0.3">
      <c r="E98" s="23"/>
      <c r="F98" s="23"/>
      <c r="G98" s="26"/>
      <c r="H98" s="23"/>
      <c r="I98" s="23"/>
      <c r="J98" s="23"/>
    </row>
    <row r="99" spans="3:10" x14ac:dyDescent="0.3">
      <c r="E99" s="23"/>
      <c r="F99" s="23"/>
      <c r="G99" s="26"/>
      <c r="H99" s="23"/>
      <c r="I99" s="23"/>
      <c r="J99" s="23"/>
    </row>
    <row r="100" spans="3:10" x14ac:dyDescent="0.3">
      <c r="E100" s="23"/>
      <c r="F100" s="23"/>
      <c r="G100" s="26"/>
      <c r="H100" s="23"/>
      <c r="I100" s="23"/>
      <c r="J100" s="23"/>
    </row>
    <row r="101" spans="3:10" x14ac:dyDescent="0.3">
      <c r="E101" s="23"/>
      <c r="F101" s="23"/>
      <c r="G101" s="26"/>
      <c r="H101" s="23"/>
      <c r="I101" s="23"/>
      <c r="J101" s="23"/>
    </row>
    <row r="102" spans="3:10" x14ac:dyDescent="0.3">
      <c r="E102" s="23"/>
      <c r="F102" s="23"/>
      <c r="G102" s="26"/>
      <c r="H102" s="23"/>
      <c r="I102" s="23"/>
      <c r="J102" s="23"/>
    </row>
    <row r="103" spans="3:10" x14ac:dyDescent="0.3">
      <c r="E103" s="23"/>
      <c r="F103" s="23"/>
      <c r="G103" s="26"/>
      <c r="H103" s="23"/>
      <c r="I103" s="23"/>
      <c r="J103" s="23"/>
    </row>
    <row r="104" spans="3:10" x14ac:dyDescent="0.3">
      <c r="E104" s="23"/>
      <c r="F104" s="23"/>
      <c r="G104" s="26"/>
      <c r="H104" s="23"/>
      <c r="I104" s="23"/>
      <c r="J104" s="23"/>
    </row>
    <row r="105" spans="3:10" x14ac:dyDescent="0.3">
      <c r="E105" s="23"/>
      <c r="F105" s="23"/>
      <c r="G105" s="26"/>
      <c r="H105" s="23"/>
      <c r="I105" s="23"/>
      <c r="J105" s="23"/>
    </row>
    <row r="106" spans="3:10" x14ac:dyDescent="0.3">
      <c r="E106" s="23"/>
      <c r="F106" s="23"/>
      <c r="G106" s="26"/>
      <c r="H106" s="23"/>
      <c r="I106" s="23"/>
      <c r="J106" s="23"/>
    </row>
    <row r="107" spans="3:10" x14ac:dyDescent="0.3">
      <c r="E107" s="23"/>
      <c r="F107" s="23"/>
      <c r="G107" s="26"/>
      <c r="H107" s="23"/>
      <c r="I107" s="23"/>
      <c r="J107" s="23"/>
    </row>
    <row r="108" spans="3:10" x14ac:dyDescent="0.3">
      <c r="E108" s="23"/>
      <c r="F108" s="23"/>
      <c r="G108" s="26"/>
      <c r="H108" s="23"/>
      <c r="I108" s="23"/>
      <c r="J108" s="23"/>
    </row>
    <row r="109" spans="3:10" x14ac:dyDescent="0.3">
      <c r="E109" s="23"/>
      <c r="F109" s="23"/>
      <c r="G109" s="26"/>
      <c r="H109" s="23"/>
      <c r="I109" s="23"/>
      <c r="J109" s="23"/>
    </row>
    <row r="110" spans="3:10" x14ac:dyDescent="0.3">
      <c r="E110" s="23"/>
      <c r="F110" s="23"/>
      <c r="G110" s="26"/>
      <c r="H110" s="23"/>
      <c r="I110" s="23"/>
      <c r="J110" s="23"/>
    </row>
    <row r="111" spans="3:10" x14ac:dyDescent="0.3">
      <c r="C111" s="29"/>
      <c r="D111" s="29"/>
      <c r="E111" s="23"/>
      <c r="F111" s="23"/>
      <c r="G111" s="26"/>
      <c r="H111" s="23"/>
      <c r="I111" s="23"/>
      <c r="J111" s="23"/>
    </row>
    <row r="112" spans="3:10" x14ac:dyDescent="0.3">
      <c r="E112" s="23"/>
      <c r="F112" s="23"/>
      <c r="G112" s="26"/>
      <c r="H112" s="23"/>
      <c r="I112" s="23"/>
      <c r="J112" s="23"/>
    </row>
    <row r="113" spans="3:10" x14ac:dyDescent="0.3">
      <c r="E113" s="23"/>
      <c r="F113" s="23"/>
      <c r="G113" s="26"/>
      <c r="H113" s="23"/>
      <c r="I113" s="23"/>
      <c r="J113" s="23"/>
    </row>
    <row r="114" spans="3:10" x14ac:dyDescent="0.3">
      <c r="E114" s="23"/>
      <c r="F114" s="23"/>
      <c r="G114" s="26"/>
      <c r="H114" s="23"/>
      <c r="I114" s="23"/>
      <c r="J114" s="23"/>
    </row>
    <row r="115" spans="3:10" x14ac:dyDescent="0.3">
      <c r="E115" s="23"/>
      <c r="F115" s="23"/>
      <c r="G115" s="26"/>
      <c r="H115" s="23"/>
      <c r="I115" s="23"/>
      <c r="J115" s="23"/>
    </row>
    <row r="116" spans="3:10" x14ac:dyDescent="0.3">
      <c r="C116" s="29"/>
      <c r="D116" s="29"/>
      <c r="E116" s="23"/>
      <c r="F116" s="23"/>
      <c r="G116" s="26"/>
      <c r="H116" s="23"/>
      <c r="I116" s="23"/>
      <c r="J116" s="23"/>
    </row>
    <row r="117" spans="3:10" x14ac:dyDescent="0.3">
      <c r="E117" s="23"/>
      <c r="F117" s="23"/>
      <c r="G117" s="26"/>
      <c r="H117" s="23"/>
      <c r="I117" s="23"/>
      <c r="J117" s="23"/>
    </row>
    <row r="118" spans="3:10" x14ac:dyDescent="0.3">
      <c r="E118" s="23"/>
      <c r="F118" s="23"/>
      <c r="G118" s="26"/>
      <c r="H118" s="23"/>
      <c r="I118" s="23"/>
      <c r="J118" s="23"/>
    </row>
    <row r="119" spans="3:10" x14ac:dyDescent="0.3">
      <c r="E119" s="23"/>
      <c r="F119" s="23"/>
      <c r="G119" s="26"/>
      <c r="H119" s="23"/>
      <c r="I119" s="23"/>
      <c r="J119" s="23"/>
    </row>
    <row r="120" spans="3:10" x14ac:dyDescent="0.3">
      <c r="E120" s="23"/>
      <c r="F120" s="23"/>
      <c r="G120" s="26"/>
      <c r="H120" s="23"/>
      <c r="I120" s="23"/>
      <c r="J120" s="23"/>
    </row>
    <row r="121" spans="3:10" x14ac:dyDescent="0.3">
      <c r="E121" s="23"/>
      <c r="F121" s="23"/>
      <c r="G121" s="26"/>
      <c r="H121" s="23"/>
      <c r="I121" s="23"/>
      <c r="J121" s="23"/>
    </row>
    <row r="122" spans="3:10" x14ac:dyDescent="0.3">
      <c r="E122" s="23"/>
      <c r="F122" s="23"/>
      <c r="G122" s="26"/>
      <c r="H122" s="23"/>
      <c r="I122" s="23"/>
      <c r="J122" s="23"/>
    </row>
    <row r="123" spans="3:10" x14ac:dyDescent="0.3">
      <c r="E123" s="23"/>
      <c r="F123" s="23"/>
      <c r="G123" s="26"/>
      <c r="H123" s="23"/>
      <c r="I123" s="23"/>
      <c r="J123" s="23"/>
    </row>
    <row r="124" spans="3:10" x14ac:dyDescent="0.3">
      <c r="E124" s="23"/>
      <c r="F124" s="23"/>
      <c r="G124" s="26"/>
      <c r="H124" s="23"/>
      <c r="I124" s="23"/>
      <c r="J124" s="23"/>
    </row>
    <row r="125" spans="3:10" x14ac:dyDescent="0.3">
      <c r="E125" s="23"/>
      <c r="F125" s="23"/>
      <c r="G125" s="26"/>
      <c r="H125" s="23"/>
      <c r="I125" s="23"/>
      <c r="J125" s="23"/>
    </row>
    <row r="126" spans="3:10" x14ac:dyDescent="0.3">
      <c r="E126" s="23"/>
      <c r="F126" s="23"/>
      <c r="G126" s="26"/>
      <c r="H126" s="23"/>
      <c r="I126" s="23"/>
      <c r="J126" s="23"/>
    </row>
    <row r="127" spans="3:10" x14ac:dyDescent="0.3">
      <c r="E127" s="23"/>
      <c r="F127" s="23"/>
      <c r="G127" s="26"/>
      <c r="H127" s="23"/>
      <c r="I127" s="23"/>
      <c r="J127" s="23"/>
    </row>
    <row r="128" spans="3:10" x14ac:dyDescent="0.3">
      <c r="E128" s="23"/>
      <c r="F128" s="23"/>
      <c r="G128" s="26"/>
      <c r="H128" s="23"/>
      <c r="I128" s="23"/>
      <c r="J128" s="23"/>
    </row>
    <row r="129" spans="5:10" x14ac:dyDescent="0.3">
      <c r="E129" s="23"/>
      <c r="F129" s="23"/>
      <c r="G129" s="26"/>
      <c r="H129" s="23"/>
      <c r="I129" s="23"/>
      <c r="J129" s="23"/>
    </row>
    <row r="130" spans="5:10" x14ac:dyDescent="0.3">
      <c r="E130" s="23"/>
      <c r="F130" s="23"/>
      <c r="G130" s="26"/>
      <c r="H130" s="23"/>
      <c r="I130" s="23"/>
      <c r="J130" s="23"/>
    </row>
    <row r="131" spans="5:10" x14ac:dyDescent="0.3">
      <c r="E131" s="23"/>
      <c r="F131" s="23"/>
      <c r="G131" s="26"/>
      <c r="H131" s="23"/>
      <c r="I131" s="23"/>
      <c r="J131" s="23"/>
    </row>
    <row r="132" spans="5:10" x14ac:dyDescent="0.3">
      <c r="E132" s="23"/>
      <c r="F132" s="23"/>
      <c r="G132" s="26"/>
      <c r="H132" s="23"/>
      <c r="I132" s="23"/>
      <c r="J132" s="23"/>
    </row>
    <row r="133" spans="5:10" x14ac:dyDescent="0.3">
      <c r="E133" s="23"/>
      <c r="F133" s="23"/>
      <c r="G133" s="26"/>
      <c r="H133" s="23"/>
      <c r="I133" s="23"/>
      <c r="J133" s="23"/>
    </row>
    <row r="134" spans="5:10" x14ac:dyDescent="0.3">
      <c r="E134" s="23"/>
      <c r="F134" s="23"/>
      <c r="G134" s="26"/>
      <c r="H134" s="23"/>
      <c r="I134" s="23"/>
      <c r="J134" s="23"/>
    </row>
    <row r="135" spans="5:10" x14ac:dyDescent="0.3">
      <c r="E135" s="23"/>
      <c r="F135" s="23"/>
      <c r="G135" s="26"/>
      <c r="H135" s="23"/>
      <c r="I135" s="23"/>
      <c r="J135" s="23"/>
    </row>
    <row r="136" spans="5:10" x14ac:dyDescent="0.3">
      <c r="E136" s="23"/>
      <c r="F136" s="23"/>
      <c r="G136" s="26"/>
      <c r="H136" s="23"/>
      <c r="I136" s="23"/>
      <c r="J136" s="23"/>
    </row>
    <row r="137" spans="5:10" x14ac:dyDescent="0.3">
      <c r="E137" s="23"/>
      <c r="F137" s="23"/>
      <c r="G137" s="26"/>
      <c r="H137" s="23"/>
      <c r="I137" s="23"/>
      <c r="J137" s="23"/>
    </row>
    <row r="138" spans="5:10" x14ac:dyDescent="0.3">
      <c r="E138" s="23"/>
      <c r="F138" s="23"/>
      <c r="G138" s="26"/>
      <c r="H138" s="23"/>
      <c r="I138" s="23"/>
      <c r="J138" s="23"/>
    </row>
    <row r="139" spans="5:10" x14ac:dyDescent="0.3">
      <c r="E139" s="23"/>
      <c r="F139" s="23"/>
      <c r="G139" s="26"/>
      <c r="H139" s="23"/>
      <c r="I139" s="23"/>
      <c r="J139" s="23"/>
    </row>
    <row r="140" spans="5:10" x14ac:dyDescent="0.3">
      <c r="E140" s="23"/>
      <c r="F140" s="23"/>
      <c r="G140" s="26"/>
      <c r="H140" s="23"/>
      <c r="I140" s="23"/>
      <c r="J140" s="23"/>
    </row>
    <row r="141" spans="5:10" x14ac:dyDescent="0.3">
      <c r="E141" s="23"/>
      <c r="F141" s="23"/>
      <c r="G141" s="26"/>
      <c r="H141" s="23"/>
      <c r="I141" s="23"/>
      <c r="J141" s="23"/>
    </row>
    <row r="142" spans="5:10" x14ac:dyDescent="0.3">
      <c r="E142" s="23"/>
      <c r="F142" s="23"/>
      <c r="G142" s="26"/>
      <c r="H142" s="23"/>
      <c r="I142" s="23"/>
      <c r="J142" s="23"/>
    </row>
    <row r="143" spans="5:10" x14ac:dyDescent="0.3">
      <c r="E143" s="23"/>
      <c r="F143" s="23"/>
      <c r="G143" s="26"/>
      <c r="H143" s="23"/>
      <c r="I143" s="23"/>
      <c r="J143" s="23"/>
    </row>
    <row r="144" spans="5:10" x14ac:dyDescent="0.3">
      <c r="E144" s="23"/>
      <c r="F144" s="23"/>
      <c r="G144" s="26"/>
      <c r="H144" s="23"/>
      <c r="I144" s="23"/>
      <c r="J144" s="23"/>
    </row>
    <row r="145" spans="5:10" x14ac:dyDescent="0.3">
      <c r="E145" s="23"/>
      <c r="F145" s="23"/>
      <c r="G145" s="26"/>
      <c r="H145" s="23"/>
      <c r="I145" s="23"/>
      <c r="J145" s="23"/>
    </row>
    <row r="146" spans="5:10" x14ac:dyDescent="0.3">
      <c r="E146" s="23"/>
      <c r="F146" s="23"/>
      <c r="G146" s="26"/>
      <c r="H146" s="23"/>
      <c r="I146" s="23"/>
      <c r="J146" s="23"/>
    </row>
    <row r="147" spans="5:10" x14ac:dyDescent="0.3">
      <c r="E147" s="23"/>
      <c r="F147" s="23"/>
      <c r="G147" s="26"/>
      <c r="H147" s="23"/>
      <c r="I147" s="23"/>
      <c r="J147" s="23"/>
    </row>
    <row r="148" spans="5:10" x14ac:dyDescent="0.3">
      <c r="E148" s="23"/>
      <c r="F148" s="23"/>
      <c r="G148" s="26"/>
      <c r="H148" s="23"/>
      <c r="I148" s="23"/>
      <c r="J148" s="23"/>
    </row>
    <row r="149" spans="5:10" x14ac:dyDescent="0.3">
      <c r="E149" s="23"/>
      <c r="F149" s="23"/>
      <c r="G149" s="26"/>
      <c r="H149" s="23"/>
      <c r="I149" s="23"/>
      <c r="J149" s="23"/>
    </row>
    <row r="150" spans="5:10" x14ac:dyDescent="0.3">
      <c r="E150" s="23"/>
      <c r="F150" s="23"/>
      <c r="G150" s="26"/>
      <c r="H150" s="23"/>
      <c r="I150" s="23"/>
      <c r="J150" s="23"/>
    </row>
    <row r="151" spans="5:10" x14ac:dyDescent="0.3">
      <c r="E151" s="23"/>
      <c r="F151" s="23"/>
      <c r="G151" s="26"/>
      <c r="H151" s="23"/>
      <c r="I151" s="23"/>
      <c r="J151" s="23"/>
    </row>
    <row r="152" spans="5:10" x14ac:dyDescent="0.3">
      <c r="E152" s="23"/>
      <c r="F152" s="23"/>
      <c r="G152" s="26"/>
      <c r="H152" s="23"/>
      <c r="I152" s="23"/>
      <c r="J152" s="23"/>
    </row>
    <row r="153" spans="5:10" x14ac:dyDescent="0.3">
      <c r="E153" s="23"/>
      <c r="F153" s="23"/>
      <c r="G153" s="26"/>
      <c r="H153" s="23"/>
      <c r="I153" s="23"/>
      <c r="J153" s="23"/>
    </row>
    <row r="154" spans="5:10" x14ac:dyDescent="0.3">
      <c r="E154" s="23"/>
      <c r="F154" s="23"/>
      <c r="G154" s="26"/>
      <c r="H154" s="23"/>
      <c r="I154" s="23"/>
      <c r="J154" s="23"/>
    </row>
    <row r="155" spans="5:10" x14ac:dyDescent="0.3">
      <c r="E155" s="23"/>
      <c r="F155" s="23"/>
      <c r="G155" s="26"/>
      <c r="H155" s="23"/>
      <c r="I155" s="23"/>
      <c r="J155" s="23"/>
    </row>
    <row r="156" spans="5:10" x14ac:dyDescent="0.3">
      <c r="E156" s="23"/>
      <c r="F156" s="23"/>
      <c r="G156" s="26"/>
      <c r="H156" s="23"/>
      <c r="I156" s="23"/>
      <c r="J156" s="23"/>
    </row>
    <row r="157" spans="5:10" x14ac:dyDescent="0.3">
      <c r="E157" s="23"/>
      <c r="F157" s="23"/>
      <c r="G157" s="26"/>
      <c r="H157" s="23"/>
      <c r="I157" s="23"/>
      <c r="J157" s="23"/>
    </row>
    <row r="158" spans="5:10" x14ac:dyDescent="0.3">
      <c r="E158" s="23"/>
      <c r="F158" s="23"/>
      <c r="G158" s="26"/>
      <c r="H158" s="23"/>
      <c r="I158" s="23"/>
      <c r="J158" s="23"/>
    </row>
    <row r="159" spans="5:10" x14ac:dyDescent="0.3">
      <c r="E159" s="23"/>
      <c r="F159" s="23"/>
      <c r="G159" s="26"/>
      <c r="H159" s="23"/>
      <c r="I159" s="23"/>
      <c r="J159" s="23"/>
    </row>
    <row r="160" spans="5:10" x14ac:dyDescent="0.3">
      <c r="E160" s="23"/>
      <c r="F160" s="23"/>
      <c r="G160" s="26"/>
      <c r="H160" s="23"/>
      <c r="I160" s="23"/>
      <c r="J160" s="23"/>
    </row>
    <row r="161" spans="3:10" x14ac:dyDescent="0.3">
      <c r="E161" s="23"/>
      <c r="F161" s="23"/>
      <c r="G161" s="26"/>
      <c r="H161" s="23"/>
      <c r="I161" s="23"/>
      <c r="J161" s="23"/>
    </row>
    <row r="162" spans="3:10" x14ac:dyDescent="0.3">
      <c r="E162" s="23"/>
      <c r="F162" s="23"/>
      <c r="G162" s="26"/>
      <c r="H162" s="23"/>
      <c r="I162" s="23"/>
      <c r="J162" s="23"/>
    </row>
    <row r="163" spans="3:10" x14ac:dyDescent="0.3">
      <c r="E163" s="23"/>
      <c r="F163" s="23"/>
      <c r="G163" s="26"/>
      <c r="H163" s="23"/>
      <c r="I163" s="23"/>
      <c r="J163" s="23"/>
    </row>
    <row r="164" spans="3:10" x14ac:dyDescent="0.3">
      <c r="E164" s="23"/>
      <c r="F164" s="23"/>
      <c r="G164" s="26"/>
      <c r="H164" s="23"/>
      <c r="I164" s="23"/>
      <c r="J164" s="23"/>
    </row>
    <row r="165" spans="3:10" x14ac:dyDescent="0.3">
      <c r="E165" s="23"/>
      <c r="F165" s="23"/>
      <c r="G165" s="26"/>
      <c r="H165" s="23"/>
      <c r="I165" s="23"/>
      <c r="J165" s="23"/>
    </row>
    <row r="166" spans="3:10" x14ac:dyDescent="0.3">
      <c r="E166" s="23"/>
      <c r="F166" s="23"/>
      <c r="G166" s="26"/>
      <c r="H166" s="23"/>
      <c r="I166" s="23"/>
      <c r="J166" s="23"/>
    </row>
    <row r="167" spans="3:10" x14ac:dyDescent="0.3">
      <c r="E167" s="23"/>
      <c r="F167" s="23"/>
      <c r="G167" s="26"/>
      <c r="H167" s="23"/>
      <c r="I167" s="23"/>
      <c r="J167" s="23"/>
    </row>
    <row r="168" spans="3:10" x14ac:dyDescent="0.3">
      <c r="E168" s="23"/>
      <c r="F168" s="23"/>
      <c r="G168" s="26"/>
      <c r="H168" s="23"/>
      <c r="I168" s="23"/>
      <c r="J168" s="23"/>
    </row>
    <row r="169" spans="3:10" x14ac:dyDescent="0.3">
      <c r="E169" s="23"/>
      <c r="F169" s="23"/>
      <c r="G169" s="26"/>
      <c r="H169" s="23"/>
      <c r="I169" s="23"/>
      <c r="J169" s="23"/>
    </row>
    <row r="170" spans="3:10" x14ac:dyDescent="0.3">
      <c r="E170" s="23"/>
      <c r="F170" s="23"/>
      <c r="G170" s="26"/>
      <c r="H170" s="23"/>
      <c r="I170" s="23"/>
      <c r="J170" s="23"/>
    </row>
    <row r="171" spans="3:10" x14ac:dyDescent="0.3">
      <c r="E171" s="23"/>
      <c r="F171" s="23"/>
      <c r="G171" s="26"/>
      <c r="H171" s="23"/>
      <c r="I171" s="23"/>
      <c r="J171" s="23"/>
    </row>
    <row r="172" spans="3:10" x14ac:dyDescent="0.3">
      <c r="E172" s="23"/>
      <c r="F172" s="23"/>
      <c r="G172" s="26"/>
      <c r="H172" s="23"/>
      <c r="I172" s="23"/>
      <c r="J172" s="23"/>
    </row>
    <row r="173" spans="3:10" x14ac:dyDescent="0.3">
      <c r="E173" s="23"/>
      <c r="F173" s="23"/>
      <c r="G173" s="26"/>
      <c r="H173" s="23"/>
      <c r="I173" s="23"/>
      <c r="J173" s="23"/>
    </row>
    <row r="174" spans="3:10" x14ac:dyDescent="0.3">
      <c r="C174" s="29"/>
      <c r="D174" s="29"/>
      <c r="E174" s="23"/>
      <c r="F174" s="23"/>
      <c r="G174" s="26"/>
      <c r="H174" s="23"/>
      <c r="I174" s="23"/>
      <c r="J174" s="23"/>
    </row>
    <row r="175" spans="3:10" x14ac:dyDescent="0.3">
      <c r="E175" s="23"/>
      <c r="F175" s="23"/>
      <c r="G175" s="26"/>
      <c r="H175" s="23"/>
      <c r="I175" s="23"/>
      <c r="J175" s="23"/>
    </row>
    <row r="176" spans="3:10" x14ac:dyDescent="0.3">
      <c r="E176" s="23"/>
      <c r="F176" s="23"/>
      <c r="G176" s="26"/>
      <c r="H176" s="23"/>
      <c r="I176" s="23"/>
      <c r="J176" s="23"/>
    </row>
    <row r="177" spans="5:10" x14ac:dyDescent="0.3">
      <c r="E177" s="23"/>
      <c r="F177" s="23"/>
      <c r="G177" s="26"/>
      <c r="H177" s="23"/>
      <c r="I177" s="23"/>
      <c r="J177" s="23"/>
    </row>
    <row r="178" spans="5:10" x14ac:dyDescent="0.3">
      <c r="E178" s="23"/>
      <c r="F178" s="23"/>
      <c r="G178" s="26"/>
      <c r="H178" s="23"/>
      <c r="I178" s="23"/>
      <c r="J178" s="23"/>
    </row>
    <row r="179" spans="5:10" x14ac:dyDescent="0.3">
      <c r="E179" s="23"/>
      <c r="F179" s="23"/>
      <c r="G179" s="26"/>
      <c r="H179" s="23"/>
      <c r="I179" s="23"/>
      <c r="J179" s="23"/>
    </row>
    <row r="180" spans="5:10" x14ac:dyDescent="0.3">
      <c r="E180" s="23"/>
      <c r="F180" s="23"/>
      <c r="G180" s="26"/>
      <c r="H180" s="23"/>
      <c r="I180" s="23"/>
      <c r="J180" s="23"/>
    </row>
    <row r="181" spans="5:10" x14ac:dyDescent="0.3">
      <c r="E181" s="23"/>
      <c r="F181" s="23"/>
      <c r="G181" s="26"/>
      <c r="H181" s="23"/>
      <c r="I181" s="23"/>
      <c r="J181" s="23"/>
    </row>
    <row r="182" spans="5:10" x14ac:dyDescent="0.3">
      <c r="E182" s="23"/>
      <c r="F182" s="23"/>
      <c r="G182" s="26"/>
      <c r="H182" s="23"/>
      <c r="I182" s="23"/>
      <c r="J182" s="23"/>
    </row>
    <row r="183" spans="5:10" x14ac:dyDescent="0.3">
      <c r="E183" s="23"/>
      <c r="F183" s="23"/>
      <c r="G183" s="26"/>
      <c r="H183" s="23"/>
      <c r="I183" s="23"/>
      <c r="J183" s="23"/>
    </row>
    <row r="184" spans="5:10" x14ac:dyDescent="0.3">
      <c r="E184" s="23"/>
      <c r="F184" s="23"/>
      <c r="G184" s="26"/>
      <c r="H184" s="23"/>
      <c r="I184" s="23"/>
      <c r="J184" s="23"/>
    </row>
    <row r="185" spans="5:10" x14ac:dyDescent="0.3">
      <c r="E185" s="23"/>
      <c r="F185" s="23"/>
      <c r="G185" s="26"/>
      <c r="H185" s="23"/>
      <c r="I185" s="23"/>
      <c r="J185" s="23"/>
    </row>
    <row r="186" spans="5:10" x14ac:dyDescent="0.3">
      <c r="E186" s="23"/>
      <c r="F186" s="23"/>
      <c r="G186" s="26"/>
      <c r="H186" s="23"/>
      <c r="I186" s="23"/>
      <c r="J186" s="23"/>
    </row>
    <row r="187" spans="5:10" x14ac:dyDescent="0.3">
      <c r="E187" s="23"/>
      <c r="F187" s="23"/>
      <c r="G187" s="26"/>
      <c r="H187" s="23"/>
      <c r="I187" s="23"/>
      <c r="J187" s="23"/>
    </row>
    <row r="188" spans="5:10" x14ac:dyDescent="0.3">
      <c r="E188" s="23"/>
      <c r="F188" s="23"/>
      <c r="G188" s="26"/>
      <c r="H188" s="23"/>
      <c r="I188" s="23"/>
      <c r="J188" s="23"/>
    </row>
    <row r="189" spans="5:10" x14ac:dyDescent="0.3">
      <c r="E189" s="23"/>
      <c r="F189" s="23"/>
      <c r="G189" s="26"/>
      <c r="H189" s="23"/>
      <c r="I189" s="23"/>
      <c r="J189" s="23"/>
    </row>
    <row r="190" spans="5:10" x14ac:dyDescent="0.3">
      <c r="E190" s="23"/>
      <c r="F190" s="23"/>
      <c r="G190" s="26"/>
      <c r="H190" s="23"/>
      <c r="I190" s="23"/>
      <c r="J190" s="23"/>
    </row>
    <row r="191" spans="5:10" x14ac:dyDescent="0.3">
      <c r="E191" s="23"/>
      <c r="F191" s="23"/>
      <c r="G191" s="26"/>
      <c r="H191" s="23"/>
      <c r="I191" s="23"/>
      <c r="J191" s="23"/>
    </row>
    <row r="192" spans="5:10" x14ac:dyDescent="0.3">
      <c r="E192" s="23"/>
      <c r="F192" s="23"/>
      <c r="G192" s="26"/>
      <c r="H192" s="23"/>
      <c r="I192" s="23"/>
      <c r="J192" s="23"/>
    </row>
    <row r="193" spans="3:10" x14ac:dyDescent="0.3">
      <c r="E193" s="23"/>
      <c r="F193" s="23"/>
      <c r="G193" s="26"/>
      <c r="H193" s="23"/>
      <c r="I193" s="23"/>
      <c r="J193" s="23"/>
    </row>
    <row r="194" spans="3:10" x14ac:dyDescent="0.3">
      <c r="E194" s="23"/>
      <c r="F194" s="23"/>
      <c r="G194" s="26"/>
      <c r="H194" s="23"/>
      <c r="I194" s="23"/>
      <c r="J194" s="23"/>
    </row>
    <row r="195" spans="3:10" x14ac:dyDescent="0.3">
      <c r="E195" s="23"/>
      <c r="F195" s="23"/>
      <c r="G195" s="26"/>
      <c r="H195" s="23"/>
      <c r="I195" s="23"/>
      <c r="J195" s="23"/>
    </row>
    <row r="196" spans="3:10" x14ac:dyDescent="0.3">
      <c r="E196" s="23"/>
      <c r="F196" s="23"/>
      <c r="G196" s="26"/>
      <c r="H196" s="23"/>
      <c r="I196" s="23"/>
      <c r="J196" s="23"/>
    </row>
    <row r="197" spans="3:10" x14ac:dyDescent="0.3">
      <c r="E197" s="23"/>
      <c r="F197" s="23"/>
      <c r="G197" s="26"/>
      <c r="H197" s="23"/>
      <c r="I197" s="23"/>
      <c r="J197" s="23"/>
    </row>
    <row r="198" spans="3:10" x14ac:dyDescent="0.3">
      <c r="E198" s="23"/>
      <c r="F198" s="23"/>
      <c r="G198" s="26"/>
      <c r="H198" s="23"/>
      <c r="I198" s="23"/>
      <c r="J198" s="23"/>
    </row>
    <row r="199" spans="3:10" x14ac:dyDescent="0.3">
      <c r="E199" s="23"/>
      <c r="F199" s="23"/>
      <c r="G199" s="26"/>
      <c r="H199" s="23"/>
      <c r="I199" s="23"/>
      <c r="J199" s="23"/>
    </row>
    <row r="200" spans="3:10" x14ac:dyDescent="0.3">
      <c r="C200" s="29"/>
      <c r="D200" s="29"/>
      <c r="E200" s="23"/>
      <c r="F200" s="23"/>
      <c r="G200" s="26"/>
      <c r="H200" s="23"/>
      <c r="I200" s="23"/>
      <c r="J200" s="23"/>
    </row>
    <row r="201" spans="3:10" x14ac:dyDescent="0.3">
      <c r="E201" s="23"/>
      <c r="F201" s="23"/>
      <c r="G201" s="26"/>
      <c r="H201" s="23"/>
      <c r="I201" s="23"/>
      <c r="J201" s="23"/>
    </row>
    <row r="202" spans="3:10" x14ac:dyDescent="0.3">
      <c r="E202" s="23"/>
      <c r="F202" s="23"/>
      <c r="G202" s="26"/>
      <c r="H202" s="23"/>
      <c r="I202" s="23"/>
      <c r="J202" s="23"/>
    </row>
    <row r="203" spans="3:10" x14ac:dyDescent="0.3">
      <c r="E203" s="23"/>
      <c r="F203" s="23"/>
      <c r="G203" s="26"/>
      <c r="H203" s="23"/>
      <c r="I203" s="23"/>
      <c r="J203" s="23"/>
    </row>
    <row r="204" spans="3:10" x14ac:dyDescent="0.3">
      <c r="E204" s="23"/>
      <c r="F204" s="23"/>
      <c r="G204" s="26"/>
      <c r="H204" s="23"/>
      <c r="I204" s="23"/>
      <c r="J204" s="23"/>
    </row>
    <row r="205" spans="3:10" x14ac:dyDescent="0.3">
      <c r="C205" s="29"/>
      <c r="D205" s="29"/>
      <c r="E205" s="23"/>
      <c r="F205" s="23"/>
      <c r="G205" s="26"/>
      <c r="H205" s="23"/>
      <c r="I205" s="23"/>
      <c r="J205" s="23"/>
    </row>
    <row r="206" spans="3:10" x14ac:dyDescent="0.3">
      <c r="E206" s="23"/>
      <c r="F206" s="23"/>
      <c r="G206" s="26"/>
      <c r="H206" s="23"/>
      <c r="I206" s="23"/>
      <c r="J206" s="23"/>
    </row>
    <row r="207" spans="3:10" x14ac:dyDescent="0.3">
      <c r="E207" s="23"/>
      <c r="F207" s="23"/>
      <c r="G207" s="26"/>
      <c r="H207" s="23"/>
      <c r="I207" s="23"/>
      <c r="J207" s="23"/>
    </row>
    <row r="208" spans="3:10" x14ac:dyDescent="0.3">
      <c r="E208" s="23"/>
      <c r="F208" s="23"/>
      <c r="G208" s="26"/>
      <c r="H208" s="23"/>
      <c r="I208" s="23"/>
      <c r="J208" s="23"/>
    </row>
    <row r="209" spans="5:10" x14ac:dyDescent="0.3">
      <c r="E209" s="23"/>
      <c r="F209" s="23"/>
      <c r="G209" s="26"/>
      <c r="H209" s="23"/>
      <c r="I209" s="23"/>
      <c r="J209" s="23"/>
    </row>
    <row r="210" spans="5:10" x14ac:dyDescent="0.3">
      <c r="E210" s="23"/>
      <c r="F210" s="23"/>
      <c r="G210" s="26"/>
      <c r="H210" s="23"/>
      <c r="I210" s="23"/>
      <c r="J210" s="23"/>
    </row>
    <row r="211" spans="5:10" x14ac:dyDescent="0.3">
      <c r="E211" s="23"/>
      <c r="F211" s="23"/>
      <c r="G211" s="26"/>
      <c r="H211" s="23"/>
      <c r="I211" s="23"/>
      <c r="J211" s="23"/>
    </row>
    <row r="212" spans="5:10" x14ac:dyDescent="0.3">
      <c r="E212" s="23"/>
      <c r="F212" s="23"/>
      <c r="G212" s="26"/>
      <c r="H212" s="23"/>
      <c r="I212" s="23"/>
      <c r="J212" s="23"/>
    </row>
    <row r="213" spans="5:10" x14ac:dyDescent="0.3">
      <c r="E213" s="23"/>
      <c r="F213" s="23"/>
      <c r="G213" s="26"/>
      <c r="H213" s="23"/>
      <c r="I213" s="23"/>
      <c r="J213" s="23"/>
    </row>
    <row r="214" spans="5:10" x14ac:dyDescent="0.3">
      <c r="E214" s="23"/>
      <c r="F214" s="23"/>
      <c r="G214" s="26"/>
      <c r="H214" s="23"/>
      <c r="I214" s="23"/>
      <c r="J214" s="23"/>
    </row>
    <row r="215" spans="5:10" x14ac:dyDescent="0.3">
      <c r="E215" s="23"/>
      <c r="F215" s="23"/>
      <c r="G215" s="26"/>
      <c r="H215" s="23"/>
      <c r="I215" s="23"/>
      <c r="J215" s="23"/>
    </row>
    <row r="216" spans="5:10" x14ac:dyDescent="0.3">
      <c r="E216" s="23"/>
      <c r="F216" s="23"/>
      <c r="G216" s="26"/>
      <c r="H216" s="23"/>
      <c r="I216" s="23"/>
      <c r="J216" s="23"/>
    </row>
    <row r="217" spans="5:10" x14ac:dyDescent="0.3">
      <c r="E217" s="23"/>
      <c r="F217" s="23"/>
      <c r="G217" s="26"/>
      <c r="H217" s="23"/>
      <c r="I217" s="23"/>
      <c r="J217" s="23"/>
    </row>
    <row r="218" spans="5:10" x14ac:dyDescent="0.3">
      <c r="E218" s="23"/>
      <c r="F218" s="23"/>
      <c r="G218" s="26"/>
      <c r="H218" s="23"/>
      <c r="I218" s="23"/>
      <c r="J218" s="23"/>
    </row>
    <row r="219" spans="5:10" x14ac:dyDescent="0.3">
      <c r="E219" s="23"/>
      <c r="F219" s="23"/>
      <c r="G219" s="26"/>
      <c r="H219" s="23"/>
      <c r="I219" s="23"/>
      <c r="J219" s="23"/>
    </row>
    <row r="220" spans="5:10" x14ac:dyDescent="0.3">
      <c r="E220" s="23"/>
      <c r="F220" s="23"/>
      <c r="G220" s="26"/>
      <c r="H220" s="23"/>
      <c r="I220" s="23"/>
      <c r="J220" s="23"/>
    </row>
    <row r="221" spans="5:10" x14ac:dyDescent="0.3">
      <c r="E221" s="23"/>
      <c r="F221" s="23"/>
      <c r="G221" s="26"/>
      <c r="H221" s="23"/>
      <c r="I221" s="23"/>
      <c r="J221" s="23"/>
    </row>
    <row r="222" spans="5:10" x14ac:dyDescent="0.3">
      <c r="E222" s="23"/>
      <c r="F222" s="23"/>
      <c r="G222" s="26"/>
      <c r="H222" s="23"/>
      <c r="I222" s="23"/>
      <c r="J222" s="23"/>
    </row>
    <row r="223" spans="5:10" x14ac:dyDescent="0.3">
      <c r="E223" s="23"/>
      <c r="F223" s="23"/>
      <c r="G223" s="26"/>
      <c r="H223" s="23"/>
      <c r="I223" s="23"/>
      <c r="J223" s="23"/>
    </row>
    <row r="224" spans="5:10" x14ac:dyDescent="0.3">
      <c r="E224" s="23"/>
      <c r="F224" s="23"/>
      <c r="G224" s="26"/>
      <c r="H224" s="23"/>
      <c r="I224" s="23"/>
      <c r="J224" s="23"/>
    </row>
    <row r="225" spans="5:10" x14ac:dyDescent="0.3">
      <c r="E225" s="23"/>
      <c r="F225" s="23"/>
      <c r="G225" s="26"/>
      <c r="H225" s="23"/>
      <c r="I225" s="23"/>
      <c r="J225" s="23"/>
    </row>
    <row r="226" spans="5:10" x14ac:dyDescent="0.3">
      <c r="E226" s="23"/>
      <c r="F226" s="23"/>
      <c r="G226" s="26"/>
      <c r="H226" s="23"/>
      <c r="I226" s="23"/>
      <c r="J226" s="23"/>
    </row>
    <row r="227" spans="5:10" x14ac:dyDescent="0.3">
      <c r="E227" s="23"/>
      <c r="F227" s="23"/>
      <c r="G227" s="26"/>
      <c r="H227" s="23"/>
      <c r="I227" s="23"/>
      <c r="J227" s="23"/>
    </row>
    <row r="228" spans="5:10" x14ac:dyDescent="0.3">
      <c r="E228" s="23"/>
      <c r="F228" s="23"/>
      <c r="G228" s="26"/>
      <c r="H228" s="23"/>
      <c r="I228" s="23"/>
      <c r="J228" s="23"/>
    </row>
    <row r="229" spans="5:10" x14ac:dyDescent="0.3">
      <c r="E229" s="23"/>
      <c r="F229" s="23"/>
      <c r="G229" s="26"/>
      <c r="H229" s="23"/>
      <c r="I229" s="23"/>
      <c r="J229" s="23"/>
    </row>
    <row r="230" spans="5:10" x14ac:dyDescent="0.3">
      <c r="E230" s="23"/>
      <c r="F230" s="23"/>
      <c r="G230" s="26"/>
      <c r="H230" s="23"/>
      <c r="I230" s="23"/>
      <c r="J230" s="23"/>
    </row>
    <row r="231" spans="5:10" x14ac:dyDescent="0.3">
      <c r="E231" s="23"/>
      <c r="F231" s="23"/>
      <c r="G231" s="26"/>
      <c r="H231" s="23"/>
      <c r="I231" s="23"/>
      <c r="J231" s="23"/>
    </row>
    <row r="232" spans="5:10" x14ac:dyDescent="0.3">
      <c r="E232" s="23"/>
      <c r="F232" s="23"/>
      <c r="G232" s="26"/>
      <c r="H232" s="23"/>
      <c r="I232" s="23"/>
      <c r="J232" s="23"/>
    </row>
    <row r="233" spans="5:10" x14ac:dyDescent="0.3">
      <c r="E233" s="23"/>
      <c r="F233" s="23"/>
      <c r="G233" s="26"/>
      <c r="H233" s="23"/>
      <c r="I233" s="23"/>
      <c r="J233" s="23"/>
    </row>
    <row r="234" spans="5:10" x14ac:dyDescent="0.3">
      <c r="E234" s="23"/>
      <c r="F234" s="23"/>
      <c r="G234" s="26"/>
      <c r="H234" s="23"/>
      <c r="I234" s="23"/>
      <c r="J234" s="23"/>
    </row>
    <row r="235" spans="5:10" x14ac:dyDescent="0.3">
      <c r="E235" s="23"/>
      <c r="F235" s="23"/>
      <c r="G235" s="26"/>
      <c r="H235" s="23"/>
      <c r="I235" s="23"/>
      <c r="J235" s="23"/>
    </row>
    <row r="236" spans="5:10" x14ac:dyDescent="0.3">
      <c r="E236" s="23"/>
      <c r="F236" s="23"/>
      <c r="G236" s="26"/>
      <c r="H236" s="23"/>
      <c r="I236" s="23"/>
      <c r="J236" s="23"/>
    </row>
    <row r="237" spans="5:10" x14ac:dyDescent="0.3">
      <c r="E237" s="23"/>
      <c r="F237" s="23"/>
      <c r="G237" s="26"/>
      <c r="H237" s="23"/>
      <c r="I237" s="23"/>
      <c r="J237" s="23"/>
    </row>
    <row r="238" spans="5:10" x14ac:dyDescent="0.3">
      <c r="E238" s="23"/>
      <c r="F238" s="23"/>
      <c r="G238" s="26"/>
      <c r="H238" s="23"/>
      <c r="I238" s="23"/>
      <c r="J238" s="23"/>
    </row>
    <row r="239" spans="5:10" x14ac:dyDescent="0.3">
      <c r="E239" s="23"/>
      <c r="F239" s="23"/>
      <c r="G239" s="26"/>
      <c r="H239" s="23"/>
      <c r="I239" s="23"/>
      <c r="J239" s="23"/>
    </row>
    <row r="240" spans="5:10" x14ac:dyDescent="0.3">
      <c r="E240" s="23"/>
      <c r="F240" s="23"/>
      <c r="G240" s="26"/>
      <c r="H240" s="23"/>
      <c r="I240" s="23"/>
      <c r="J240" s="23"/>
    </row>
    <row r="241" spans="5:10" x14ac:dyDescent="0.3">
      <c r="E241" s="23"/>
      <c r="F241" s="23"/>
      <c r="G241" s="26"/>
      <c r="H241" s="23"/>
      <c r="I241" s="23"/>
      <c r="J241" s="23"/>
    </row>
    <row r="242" spans="5:10" x14ac:dyDescent="0.3">
      <c r="E242" s="23"/>
      <c r="F242" s="23"/>
      <c r="G242" s="26"/>
      <c r="H242" s="23"/>
      <c r="I242" s="23"/>
      <c r="J242" s="23"/>
    </row>
    <row r="243" spans="5:10" x14ac:dyDescent="0.3">
      <c r="E243" s="23"/>
      <c r="F243" s="23"/>
      <c r="G243" s="26"/>
      <c r="H243" s="23"/>
      <c r="I243" s="23"/>
      <c r="J243" s="23"/>
    </row>
    <row r="244" spans="5:10" x14ac:dyDescent="0.3">
      <c r="E244" s="23"/>
      <c r="F244" s="23"/>
      <c r="G244" s="26"/>
      <c r="H244" s="23"/>
      <c r="I244" s="23"/>
      <c r="J244" s="23"/>
    </row>
    <row r="245" spans="5:10" x14ac:dyDescent="0.3">
      <c r="E245" s="23"/>
      <c r="F245" s="23"/>
      <c r="G245" s="26"/>
      <c r="H245" s="23"/>
      <c r="I245" s="23"/>
      <c r="J245" s="23"/>
    </row>
    <row r="246" spans="5:10" x14ac:dyDescent="0.3">
      <c r="E246" s="23"/>
      <c r="F246" s="23"/>
      <c r="G246" s="26"/>
      <c r="H246" s="23"/>
      <c r="I246" s="23"/>
      <c r="J246" s="23"/>
    </row>
    <row r="247" spans="5:10" x14ac:dyDescent="0.3">
      <c r="E247" s="23"/>
      <c r="F247" s="23"/>
      <c r="G247" s="26"/>
      <c r="H247" s="23"/>
      <c r="I247" s="23"/>
      <c r="J247" s="23"/>
    </row>
    <row r="248" spans="5:10" x14ac:dyDescent="0.3">
      <c r="E248" s="23"/>
      <c r="F248" s="23"/>
      <c r="G248" s="26"/>
      <c r="H248" s="23"/>
      <c r="I248" s="23"/>
      <c r="J248" s="23"/>
    </row>
    <row r="249" spans="5:10" x14ac:dyDescent="0.3">
      <c r="E249" s="23"/>
      <c r="F249" s="23"/>
      <c r="G249" s="26"/>
      <c r="H249" s="23"/>
      <c r="I249" s="23"/>
      <c r="J249" s="23"/>
    </row>
    <row r="250" spans="5:10" x14ac:dyDescent="0.3">
      <c r="E250" s="23"/>
      <c r="F250" s="23"/>
      <c r="G250" s="26"/>
      <c r="H250" s="23"/>
      <c r="I250" s="23"/>
      <c r="J250" s="23"/>
    </row>
    <row r="251" spans="5:10" x14ac:dyDescent="0.3">
      <c r="E251" s="23"/>
      <c r="F251" s="23"/>
      <c r="G251" s="26"/>
      <c r="H251" s="23"/>
      <c r="I251" s="23"/>
      <c r="J251" s="23"/>
    </row>
    <row r="252" spans="5:10" x14ac:dyDescent="0.3">
      <c r="E252" s="23"/>
      <c r="F252" s="23"/>
      <c r="G252" s="26"/>
      <c r="H252" s="23"/>
      <c r="I252" s="23"/>
      <c r="J252" s="23"/>
    </row>
    <row r="253" spans="5:10" x14ac:dyDescent="0.3">
      <c r="E253" s="23"/>
      <c r="F253" s="23"/>
      <c r="G253" s="26"/>
      <c r="H253" s="23"/>
      <c r="I253" s="23"/>
      <c r="J253" s="23"/>
    </row>
    <row r="254" spans="5:10" x14ac:dyDescent="0.3">
      <c r="E254" s="23"/>
      <c r="F254" s="23"/>
      <c r="G254" s="26"/>
      <c r="H254" s="23"/>
      <c r="I254" s="23"/>
      <c r="J254" s="23"/>
    </row>
    <row r="255" spans="5:10" x14ac:dyDescent="0.3">
      <c r="E255" s="23"/>
      <c r="F255" s="23"/>
      <c r="G255" s="26"/>
      <c r="H255" s="23"/>
      <c r="I255" s="23"/>
      <c r="J255" s="23"/>
    </row>
    <row r="256" spans="5:10" x14ac:dyDescent="0.3">
      <c r="E256" s="23"/>
      <c r="F256" s="23"/>
      <c r="G256" s="26"/>
      <c r="H256" s="23"/>
      <c r="I256" s="23"/>
      <c r="J256" s="23"/>
    </row>
    <row r="257" spans="3:10" x14ac:dyDescent="0.3">
      <c r="E257" s="23"/>
      <c r="F257" s="23"/>
      <c r="G257" s="26"/>
      <c r="H257" s="23"/>
      <c r="I257" s="23"/>
      <c r="J257" s="23"/>
    </row>
    <row r="258" spans="3:10" x14ac:dyDescent="0.3">
      <c r="E258" s="23"/>
      <c r="F258" s="23"/>
      <c r="G258" s="26"/>
      <c r="H258" s="23"/>
      <c r="I258" s="23"/>
      <c r="J258" s="23"/>
    </row>
    <row r="259" spans="3:10" x14ac:dyDescent="0.3">
      <c r="E259" s="23"/>
      <c r="F259" s="23"/>
      <c r="G259" s="26"/>
      <c r="H259" s="23"/>
      <c r="I259" s="23"/>
      <c r="J259" s="23"/>
    </row>
    <row r="260" spans="3:10" x14ac:dyDescent="0.3">
      <c r="E260" s="23"/>
      <c r="F260" s="23"/>
      <c r="G260" s="26"/>
      <c r="H260" s="23"/>
      <c r="I260" s="23"/>
      <c r="J260" s="23"/>
    </row>
    <row r="261" spans="3:10" x14ac:dyDescent="0.3">
      <c r="E261" s="23"/>
      <c r="F261" s="23"/>
      <c r="G261" s="26"/>
      <c r="H261" s="23"/>
      <c r="I261" s="23"/>
      <c r="J261" s="23"/>
    </row>
    <row r="262" spans="3:10" x14ac:dyDescent="0.3">
      <c r="E262" s="23"/>
      <c r="F262" s="23"/>
      <c r="G262" s="26"/>
      <c r="H262" s="23"/>
      <c r="I262" s="23"/>
      <c r="J262" s="23"/>
    </row>
    <row r="263" spans="3:10" x14ac:dyDescent="0.3">
      <c r="C263" s="29"/>
      <c r="D263" s="29"/>
      <c r="E263" s="23"/>
      <c r="F263" s="23"/>
      <c r="G263" s="26"/>
      <c r="H263" s="23"/>
      <c r="I263" s="23"/>
      <c r="J263" s="23"/>
    </row>
    <row r="264" spans="3:10" x14ac:dyDescent="0.3">
      <c r="E264" s="23"/>
      <c r="F264" s="23"/>
      <c r="G264" s="26"/>
      <c r="H264" s="23"/>
      <c r="I264" s="23"/>
      <c r="J264" s="23"/>
    </row>
    <row r="265" spans="3:10" x14ac:dyDescent="0.3">
      <c r="E265" s="23"/>
      <c r="F265" s="23"/>
      <c r="G265" s="26"/>
      <c r="H265" s="23"/>
      <c r="I265" s="23"/>
      <c r="J265" s="23"/>
    </row>
    <row r="266" spans="3:10" x14ac:dyDescent="0.3">
      <c r="E266" s="23"/>
      <c r="F266" s="23"/>
      <c r="G266" s="26"/>
      <c r="H266" s="23"/>
      <c r="I266" s="23"/>
      <c r="J266" s="23"/>
    </row>
    <row r="267" spans="3:10" x14ac:dyDescent="0.3">
      <c r="E267" s="23"/>
      <c r="F267" s="23"/>
      <c r="G267" s="26"/>
      <c r="H267" s="23"/>
      <c r="I267" s="23"/>
      <c r="J267" s="23"/>
    </row>
    <row r="268" spans="3:10" x14ac:dyDescent="0.3">
      <c r="E268" s="23"/>
      <c r="F268" s="23"/>
      <c r="G268" s="26"/>
      <c r="H268" s="23"/>
      <c r="I268" s="23"/>
      <c r="J268" s="23"/>
    </row>
    <row r="269" spans="3:10" x14ac:dyDescent="0.3">
      <c r="E269" s="23"/>
      <c r="F269" s="23"/>
      <c r="G269" s="26"/>
      <c r="H269" s="23"/>
      <c r="I269" s="23"/>
      <c r="J269" s="23"/>
    </row>
    <row r="270" spans="3:10" x14ac:dyDescent="0.3">
      <c r="E270" s="23"/>
      <c r="F270" s="23"/>
      <c r="G270" s="26"/>
      <c r="H270" s="23"/>
      <c r="I270" s="23"/>
      <c r="J270" s="23"/>
    </row>
    <row r="271" spans="3:10" x14ac:dyDescent="0.3">
      <c r="E271" s="23"/>
      <c r="F271" s="23"/>
      <c r="G271" s="26"/>
      <c r="H271" s="23"/>
      <c r="I271" s="23"/>
      <c r="J271" s="23"/>
    </row>
    <row r="272" spans="3:10" x14ac:dyDescent="0.3">
      <c r="E272" s="23"/>
      <c r="F272" s="23"/>
      <c r="G272" s="26"/>
      <c r="H272" s="23"/>
      <c r="I272" s="23"/>
      <c r="J272" s="23"/>
    </row>
    <row r="273" spans="5:10" x14ac:dyDescent="0.3">
      <c r="E273" s="23"/>
      <c r="F273" s="23"/>
      <c r="G273" s="26"/>
      <c r="H273" s="23"/>
      <c r="I273" s="23"/>
      <c r="J273" s="23"/>
    </row>
    <row r="274" spans="5:10" x14ac:dyDescent="0.3">
      <c r="E274" s="23"/>
      <c r="F274" s="23"/>
      <c r="G274" s="26"/>
      <c r="H274" s="23"/>
      <c r="I274" s="23"/>
      <c r="J274" s="23"/>
    </row>
    <row r="275" spans="5:10" x14ac:dyDescent="0.3">
      <c r="E275" s="23"/>
      <c r="F275" s="23"/>
      <c r="G275" s="26"/>
      <c r="H275" s="23"/>
      <c r="I275" s="23"/>
      <c r="J275" s="23"/>
    </row>
    <row r="276" spans="5:10" x14ac:dyDescent="0.3">
      <c r="E276" s="23"/>
      <c r="F276" s="23"/>
      <c r="G276" s="26"/>
      <c r="H276" s="23"/>
      <c r="I276" s="23"/>
      <c r="J276" s="23"/>
    </row>
    <row r="277" spans="5:10" x14ac:dyDescent="0.3">
      <c r="E277" s="23"/>
      <c r="F277" s="23"/>
      <c r="G277" s="26"/>
      <c r="H277" s="23"/>
      <c r="I277" s="23"/>
      <c r="J277" s="23"/>
    </row>
    <row r="278" spans="5:10" x14ac:dyDescent="0.3">
      <c r="E278" s="23"/>
      <c r="F278" s="23"/>
      <c r="G278" s="26"/>
      <c r="H278" s="23"/>
      <c r="I278" s="23"/>
      <c r="J278" s="23"/>
    </row>
    <row r="279" spans="5:10" x14ac:dyDescent="0.3">
      <c r="E279" s="23"/>
      <c r="F279" s="23"/>
      <c r="G279" s="26"/>
      <c r="H279" s="23"/>
      <c r="I279" s="23"/>
      <c r="J279" s="23"/>
    </row>
    <row r="280" spans="5:10" x14ac:dyDescent="0.3">
      <c r="E280" s="23"/>
      <c r="F280" s="23"/>
      <c r="G280" s="26"/>
      <c r="H280" s="23"/>
      <c r="I280" s="23"/>
      <c r="J280" s="23"/>
    </row>
    <row r="281" spans="5:10" x14ac:dyDescent="0.3">
      <c r="E281" s="23"/>
      <c r="F281" s="23"/>
      <c r="G281" s="26"/>
      <c r="H281" s="23"/>
      <c r="I281" s="23"/>
      <c r="J281" s="23"/>
    </row>
    <row r="282" spans="5:10" x14ac:dyDescent="0.3">
      <c r="E282" s="23"/>
      <c r="F282" s="23"/>
      <c r="G282" s="26"/>
      <c r="H282" s="23"/>
      <c r="I282" s="23"/>
      <c r="J282" s="23"/>
    </row>
    <row r="283" spans="5:10" x14ac:dyDescent="0.3">
      <c r="E283" s="23"/>
      <c r="F283" s="23"/>
      <c r="G283" s="26"/>
      <c r="H283" s="23"/>
      <c r="I283" s="23"/>
      <c r="J283" s="23"/>
    </row>
    <row r="284" spans="5:10" x14ac:dyDescent="0.3">
      <c r="E284" s="23"/>
      <c r="F284" s="23"/>
      <c r="G284" s="26"/>
      <c r="H284" s="23"/>
      <c r="I284" s="23"/>
      <c r="J284" s="23"/>
    </row>
    <row r="285" spans="5:10" x14ac:dyDescent="0.3">
      <c r="E285" s="23"/>
      <c r="F285" s="23"/>
      <c r="G285" s="26"/>
      <c r="H285" s="23"/>
      <c r="I285" s="23"/>
      <c r="J285" s="23"/>
    </row>
    <row r="286" spans="5:10" x14ac:dyDescent="0.3">
      <c r="E286" s="23"/>
      <c r="F286" s="23"/>
      <c r="G286" s="26"/>
      <c r="H286" s="23"/>
      <c r="I286" s="23"/>
      <c r="J286" s="23"/>
    </row>
    <row r="287" spans="5:10" x14ac:dyDescent="0.3">
      <c r="E287" s="23"/>
      <c r="F287" s="23"/>
      <c r="G287" s="26"/>
      <c r="H287" s="23"/>
      <c r="I287" s="23"/>
      <c r="J287" s="23"/>
    </row>
    <row r="288" spans="5:10" x14ac:dyDescent="0.3">
      <c r="E288" s="23"/>
      <c r="F288" s="23"/>
      <c r="G288" s="26"/>
      <c r="H288" s="23"/>
      <c r="I288" s="23"/>
      <c r="J288" s="23"/>
    </row>
    <row r="289" spans="3:10" x14ac:dyDescent="0.3">
      <c r="C289" s="29"/>
      <c r="D289" s="29"/>
      <c r="E289" s="23"/>
      <c r="F289" s="23"/>
      <c r="G289" s="26"/>
      <c r="H289" s="23"/>
      <c r="I289" s="23"/>
      <c r="J289" s="23"/>
    </row>
    <row r="290" spans="3:10" x14ac:dyDescent="0.3">
      <c r="E290" s="23"/>
      <c r="F290" s="23"/>
      <c r="G290" s="26"/>
      <c r="H290" s="23"/>
      <c r="I290" s="23"/>
      <c r="J290" s="23"/>
    </row>
    <row r="291" spans="3:10" x14ac:dyDescent="0.3">
      <c r="E291" s="23"/>
      <c r="F291" s="23"/>
      <c r="G291" s="26"/>
      <c r="H291" s="23"/>
      <c r="I291" s="23"/>
      <c r="J291" s="23"/>
    </row>
    <row r="292" spans="3:10" x14ac:dyDescent="0.3">
      <c r="E292" s="23"/>
      <c r="F292" s="23"/>
      <c r="G292" s="26"/>
      <c r="H292" s="23"/>
      <c r="I292" s="23"/>
      <c r="J292" s="23"/>
    </row>
    <row r="293" spans="3:10" x14ac:dyDescent="0.3">
      <c r="E293" s="23"/>
      <c r="F293" s="23"/>
      <c r="G293" s="26"/>
      <c r="H293" s="23"/>
      <c r="I293" s="23"/>
      <c r="J293" s="23"/>
    </row>
    <row r="294" spans="3:10" x14ac:dyDescent="0.3">
      <c r="C294" s="29"/>
      <c r="D294" s="29"/>
      <c r="E294" s="23"/>
      <c r="F294" s="23"/>
      <c r="G294" s="26"/>
      <c r="H294" s="23"/>
      <c r="I294" s="23"/>
      <c r="J294" s="23"/>
    </row>
    <row r="295" spans="3:10" x14ac:dyDescent="0.3">
      <c r="E295" s="23"/>
      <c r="F295" s="23"/>
      <c r="G295" s="26"/>
      <c r="H295" s="23"/>
      <c r="I295" s="23"/>
      <c r="J295" s="23"/>
    </row>
    <row r="296" spans="3:10" x14ac:dyDescent="0.3">
      <c r="E296" s="23"/>
      <c r="F296" s="23"/>
      <c r="G296" s="26"/>
      <c r="H296" s="23"/>
      <c r="I296" s="23"/>
      <c r="J296" s="23"/>
    </row>
    <row r="297" spans="3:10" x14ac:dyDescent="0.3">
      <c r="E297" s="23"/>
      <c r="F297" s="23"/>
      <c r="G297" s="26"/>
      <c r="H297" s="23"/>
      <c r="I297" s="23"/>
      <c r="J297" s="23"/>
    </row>
    <row r="298" spans="3:10" x14ac:dyDescent="0.3">
      <c r="E298" s="23"/>
      <c r="F298" s="23"/>
      <c r="G298" s="26"/>
      <c r="H298" s="23"/>
      <c r="I298" s="23"/>
      <c r="J298" s="23"/>
    </row>
    <row r="299" spans="3:10" x14ac:dyDescent="0.3">
      <c r="E299" s="23"/>
      <c r="F299" s="23"/>
      <c r="G299" s="26"/>
      <c r="H299" s="23"/>
      <c r="I299" s="23"/>
      <c r="J299" s="23"/>
    </row>
    <row r="300" spans="3:10" x14ac:dyDescent="0.3">
      <c r="E300" s="23"/>
      <c r="F300" s="23"/>
      <c r="G300" s="26"/>
      <c r="H300" s="23"/>
      <c r="I300" s="23"/>
      <c r="J300" s="23"/>
    </row>
    <row r="301" spans="3:10" x14ac:dyDescent="0.3">
      <c r="E301" s="23"/>
      <c r="F301" s="23"/>
      <c r="G301" s="26"/>
      <c r="H301" s="23"/>
      <c r="I301" s="23"/>
      <c r="J301" s="23"/>
    </row>
    <row r="302" spans="3:10" x14ac:dyDescent="0.3">
      <c r="E302" s="23"/>
      <c r="F302" s="23"/>
      <c r="G302" s="26"/>
      <c r="H302" s="23"/>
      <c r="I302" s="23"/>
      <c r="J302" s="23"/>
    </row>
    <row r="303" spans="3:10" x14ac:dyDescent="0.3">
      <c r="E303" s="23"/>
      <c r="F303" s="23"/>
      <c r="G303" s="26"/>
      <c r="H303" s="23"/>
      <c r="I303" s="23"/>
      <c r="J303" s="23"/>
    </row>
    <row r="304" spans="3:10" x14ac:dyDescent="0.3">
      <c r="E304" s="23"/>
      <c r="F304" s="23"/>
      <c r="G304" s="26"/>
      <c r="H304" s="23"/>
      <c r="I304" s="23"/>
      <c r="J304" s="23"/>
    </row>
    <row r="305" spans="5:10" x14ac:dyDescent="0.3">
      <c r="E305" s="23"/>
      <c r="F305" s="23"/>
      <c r="G305" s="26"/>
      <c r="H305" s="23"/>
      <c r="I305" s="23"/>
      <c r="J305" s="23"/>
    </row>
    <row r="306" spans="5:10" x14ac:dyDescent="0.3">
      <c r="E306" s="23"/>
      <c r="F306" s="23"/>
      <c r="G306" s="26"/>
      <c r="H306" s="23"/>
      <c r="I306" s="23"/>
      <c r="J306" s="23"/>
    </row>
    <row r="307" spans="5:10" x14ac:dyDescent="0.3">
      <c r="E307" s="23"/>
      <c r="F307" s="23"/>
      <c r="G307" s="26"/>
      <c r="H307" s="23"/>
      <c r="I307" s="23"/>
      <c r="J307" s="23"/>
    </row>
    <row r="308" spans="5:10" x14ac:dyDescent="0.3">
      <c r="E308" s="23"/>
      <c r="F308" s="23"/>
      <c r="G308" s="26"/>
      <c r="H308" s="23"/>
      <c r="I308" s="23"/>
      <c r="J308" s="23"/>
    </row>
    <row r="309" spans="5:10" x14ac:dyDescent="0.3">
      <c r="E309" s="23"/>
      <c r="F309" s="23"/>
      <c r="G309" s="26"/>
      <c r="H309" s="23"/>
      <c r="I309" s="23"/>
      <c r="J309" s="23"/>
    </row>
    <row r="310" spans="5:10" x14ac:dyDescent="0.3">
      <c r="E310" s="23"/>
      <c r="F310" s="23"/>
      <c r="G310" s="26"/>
      <c r="H310" s="23"/>
      <c r="I310" s="23"/>
      <c r="J310" s="23"/>
    </row>
    <row r="311" spans="5:10" x14ac:dyDescent="0.3">
      <c r="E311" s="23"/>
      <c r="F311" s="23"/>
      <c r="G311" s="26"/>
      <c r="H311" s="23"/>
      <c r="I311" s="23"/>
      <c r="J311" s="23"/>
    </row>
    <row r="312" spans="5:10" x14ac:dyDescent="0.3">
      <c r="E312" s="23"/>
      <c r="F312" s="23"/>
      <c r="G312" s="26"/>
      <c r="H312" s="23"/>
      <c r="I312" s="23"/>
      <c r="J312" s="23"/>
    </row>
    <row r="313" spans="5:10" x14ac:dyDescent="0.3">
      <c r="E313" s="23"/>
      <c r="F313" s="23"/>
      <c r="G313" s="26"/>
      <c r="H313" s="23"/>
      <c r="I313" s="23"/>
      <c r="J313" s="23"/>
    </row>
    <row r="314" spans="5:10" x14ac:dyDescent="0.3">
      <c r="E314" s="23"/>
      <c r="F314" s="23"/>
      <c r="G314" s="26"/>
      <c r="H314" s="23"/>
      <c r="I314" s="23"/>
      <c r="J314" s="23"/>
    </row>
    <row r="315" spans="5:10" x14ac:dyDescent="0.3">
      <c r="E315" s="23"/>
      <c r="F315" s="23"/>
      <c r="G315" s="26"/>
      <c r="H315" s="23"/>
      <c r="I315" s="23"/>
      <c r="J315" s="23"/>
    </row>
    <row r="316" spans="5:10" x14ac:dyDescent="0.3">
      <c r="E316" s="23"/>
      <c r="F316" s="23"/>
      <c r="G316" s="26"/>
      <c r="H316" s="23"/>
      <c r="I316" s="23"/>
      <c r="J316" s="23"/>
    </row>
    <row r="317" spans="5:10" x14ac:dyDescent="0.3">
      <c r="E317" s="23"/>
      <c r="F317" s="23"/>
      <c r="G317" s="26"/>
      <c r="H317" s="23"/>
      <c r="I317" s="23"/>
      <c r="J317" s="23"/>
    </row>
    <row r="318" spans="5:10" x14ac:dyDescent="0.3">
      <c r="E318" s="23"/>
      <c r="F318" s="23"/>
      <c r="G318" s="26"/>
      <c r="H318" s="23"/>
      <c r="I318" s="23"/>
      <c r="J318" s="23"/>
    </row>
    <row r="319" spans="5:10" x14ac:dyDescent="0.3">
      <c r="E319" s="23"/>
      <c r="F319" s="23"/>
      <c r="G319" s="26"/>
      <c r="H319" s="23"/>
      <c r="I319" s="23"/>
      <c r="J319" s="23"/>
    </row>
    <row r="320" spans="5:10" x14ac:dyDescent="0.3">
      <c r="E320" s="23"/>
      <c r="F320" s="23"/>
      <c r="G320" s="26"/>
      <c r="H320" s="23"/>
      <c r="I320" s="23"/>
      <c r="J320" s="23"/>
    </row>
    <row r="321" spans="5:10" x14ac:dyDescent="0.3">
      <c r="E321" s="23"/>
      <c r="F321" s="23"/>
      <c r="G321" s="26"/>
      <c r="H321" s="23"/>
      <c r="I321" s="23"/>
      <c r="J321" s="23"/>
    </row>
    <row r="322" spans="5:10" x14ac:dyDescent="0.3">
      <c r="E322" s="23"/>
      <c r="F322" s="23"/>
      <c r="G322" s="26"/>
      <c r="H322" s="23"/>
      <c r="I322" s="23"/>
      <c r="J322" s="23"/>
    </row>
    <row r="323" spans="5:10" x14ac:dyDescent="0.3">
      <c r="E323" s="23"/>
      <c r="F323" s="23"/>
      <c r="G323" s="26"/>
      <c r="H323" s="23"/>
      <c r="I323" s="23"/>
      <c r="J323" s="23"/>
    </row>
    <row r="324" spans="5:10" x14ac:dyDescent="0.3">
      <c r="E324" s="23"/>
      <c r="F324" s="23"/>
      <c r="G324" s="26"/>
      <c r="H324" s="23"/>
      <c r="I324" s="23"/>
      <c r="J324" s="23"/>
    </row>
    <row r="325" spans="5:10" x14ac:dyDescent="0.3">
      <c r="E325" s="23"/>
      <c r="F325" s="23"/>
      <c r="G325" s="26"/>
      <c r="H325" s="23"/>
      <c r="I325" s="23"/>
      <c r="J325" s="23"/>
    </row>
    <row r="326" spans="5:10" x14ac:dyDescent="0.3">
      <c r="E326" s="23"/>
      <c r="F326" s="23"/>
      <c r="G326" s="26"/>
      <c r="H326" s="23"/>
      <c r="I326" s="23"/>
      <c r="J326" s="23"/>
    </row>
    <row r="327" spans="5:10" x14ac:dyDescent="0.3">
      <c r="E327" s="23"/>
      <c r="F327" s="23"/>
      <c r="G327" s="26"/>
      <c r="H327" s="23"/>
      <c r="I327" s="23"/>
      <c r="J327" s="23"/>
    </row>
    <row r="328" spans="5:10" x14ac:dyDescent="0.3">
      <c r="E328" s="23"/>
      <c r="F328" s="23"/>
      <c r="G328" s="26"/>
      <c r="H328" s="23"/>
      <c r="I328" s="23"/>
      <c r="J328" s="23"/>
    </row>
    <row r="329" spans="5:10" x14ac:dyDescent="0.3">
      <c r="E329" s="23"/>
      <c r="F329" s="23"/>
      <c r="G329" s="26"/>
      <c r="H329" s="23"/>
      <c r="I329" s="23"/>
      <c r="J329" s="23"/>
    </row>
    <row r="330" spans="5:10" x14ac:dyDescent="0.3">
      <c r="E330" s="23"/>
      <c r="F330" s="23"/>
      <c r="G330" s="26"/>
      <c r="H330" s="23"/>
      <c r="I330" s="23"/>
      <c r="J330" s="23"/>
    </row>
    <row r="331" spans="5:10" x14ac:dyDescent="0.3">
      <c r="E331" s="23"/>
      <c r="F331" s="23"/>
      <c r="G331" s="26"/>
      <c r="H331" s="23"/>
      <c r="I331" s="23"/>
      <c r="J331" s="23"/>
    </row>
    <row r="332" spans="5:10" x14ac:dyDescent="0.3">
      <c r="E332" s="23"/>
      <c r="F332" s="23"/>
      <c r="G332" s="26"/>
      <c r="H332" s="23"/>
      <c r="I332" s="23"/>
      <c r="J332" s="23"/>
    </row>
    <row r="333" spans="5:10" x14ac:dyDescent="0.3">
      <c r="E333" s="23"/>
      <c r="F333" s="23"/>
      <c r="G333" s="26"/>
      <c r="H333" s="23"/>
      <c r="I333" s="23"/>
      <c r="J333" s="23"/>
    </row>
    <row r="334" spans="5:10" x14ac:dyDescent="0.3">
      <c r="E334" s="23"/>
      <c r="F334" s="23"/>
      <c r="G334" s="26"/>
      <c r="H334" s="23"/>
      <c r="I334" s="23"/>
      <c r="J334" s="23"/>
    </row>
    <row r="335" spans="5:10" x14ac:dyDescent="0.3">
      <c r="E335" s="23"/>
      <c r="F335" s="23"/>
      <c r="G335" s="26"/>
      <c r="H335" s="23"/>
      <c r="I335" s="23"/>
      <c r="J335" s="23"/>
    </row>
    <row r="336" spans="5:10" x14ac:dyDescent="0.3">
      <c r="E336" s="23"/>
      <c r="F336" s="23"/>
      <c r="G336" s="26"/>
      <c r="H336" s="23"/>
      <c r="I336" s="23"/>
      <c r="J336" s="23"/>
    </row>
    <row r="337" spans="3:10" x14ac:dyDescent="0.3">
      <c r="E337" s="23"/>
      <c r="F337" s="23"/>
      <c r="G337" s="26"/>
      <c r="H337" s="23"/>
      <c r="I337" s="23"/>
      <c r="J337" s="23"/>
    </row>
    <row r="338" spans="3:10" x14ac:dyDescent="0.3">
      <c r="E338" s="23"/>
      <c r="F338" s="23"/>
      <c r="G338" s="26"/>
      <c r="H338" s="23"/>
      <c r="I338" s="23"/>
      <c r="J338" s="23"/>
    </row>
    <row r="339" spans="3:10" x14ac:dyDescent="0.3">
      <c r="E339" s="23"/>
      <c r="F339" s="23"/>
      <c r="G339" s="26"/>
      <c r="H339" s="23"/>
      <c r="I339" s="23"/>
      <c r="J339" s="23"/>
    </row>
    <row r="340" spans="3:10" x14ac:dyDescent="0.3">
      <c r="E340" s="23"/>
      <c r="F340" s="23"/>
      <c r="G340" s="26"/>
      <c r="H340" s="23"/>
      <c r="I340" s="23"/>
      <c r="J340" s="23"/>
    </row>
    <row r="341" spans="3:10" x14ac:dyDescent="0.3">
      <c r="E341" s="23"/>
      <c r="F341" s="23"/>
      <c r="G341" s="26"/>
      <c r="H341" s="23"/>
      <c r="I341" s="23"/>
      <c r="J341" s="23"/>
    </row>
    <row r="342" spans="3:10" x14ac:dyDescent="0.3">
      <c r="E342" s="23"/>
      <c r="F342" s="23"/>
      <c r="G342" s="26"/>
      <c r="H342" s="23"/>
      <c r="I342" s="23"/>
      <c r="J342" s="23"/>
    </row>
    <row r="343" spans="3:10" x14ac:dyDescent="0.3">
      <c r="E343" s="23"/>
      <c r="F343" s="23"/>
      <c r="G343" s="26"/>
      <c r="H343" s="23"/>
      <c r="I343" s="23"/>
      <c r="J343" s="23"/>
    </row>
    <row r="344" spans="3:10" x14ac:dyDescent="0.3">
      <c r="E344" s="23"/>
      <c r="F344" s="23"/>
      <c r="G344" s="26"/>
      <c r="H344" s="23"/>
      <c r="I344" s="23"/>
      <c r="J344" s="23"/>
    </row>
    <row r="345" spans="3:10" x14ac:dyDescent="0.3">
      <c r="E345" s="23"/>
      <c r="F345" s="23"/>
      <c r="G345" s="26"/>
      <c r="H345" s="23"/>
      <c r="I345" s="23"/>
      <c r="J345" s="23"/>
    </row>
    <row r="346" spans="3:10" x14ac:dyDescent="0.3">
      <c r="E346" s="23"/>
      <c r="F346" s="23"/>
      <c r="G346" s="26"/>
      <c r="H346" s="23"/>
      <c r="I346" s="23"/>
      <c r="J346" s="23"/>
    </row>
    <row r="347" spans="3:10" x14ac:dyDescent="0.3">
      <c r="E347" s="23"/>
      <c r="F347" s="23"/>
      <c r="G347" s="26"/>
      <c r="H347" s="23"/>
      <c r="I347" s="23"/>
      <c r="J347" s="23"/>
    </row>
    <row r="348" spans="3:10" x14ac:dyDescent="0.3">
      <c r="E348" s="23"/>
      <c r="F348" s="23"/>
      <c r="G348" s="26"/>
      <c r="H348" s="23"/>
      <c r="I348" s="23"/>
      <c r="J348" s="23"/>
    </row>
    <row r="349" spans="3:10" x14ac:dyDescent="0.3">
      <c r="E349" s="23"/>
      <c r="F349" s="23"/>
      <c r="G349" s="26"/>
      <c r="H349" s="23"/>
      <c r="I349" s="23"/>
      <c r="J349" s="23"/>
    </row>
    <row r="350" spans="3:10" x14ac:dyDescent="0.3">
      <c r="E350" s="23"/>
      <c r="F350" s="23"/>
      <c r="G350" s="26"/>
      <c r="H350" s="23"/>
      <c r="I350" s="23"/>
      <c r="J350" s="23"/>
    </row>
    <row r="351" spans="3:10" x14ac:dyDescent="0.3">
      <c r="E351" s="23"/>
      <c r="F351" s="23"/>
      <c r="G351" s="26"/>
      <c r="H351" s="23"/>
      <c r="I351" s="23"/>
      <c r="J351" s="23"/>
    </row>
    <row r="352" spans="3:10" x14ac:dyDescent="0.3">
      <c r="C352" s="29"/>
      <c r="D352" s="29"/>
      <c r="E352" s="23"/>
      <c r="F352" s="23"/>
      <c r="G352" s="26"/>
      <c r="H352" s="23"/>
      <c r="I352" s="23"/>
      <c r="J352" s="23"/>
    </row>
    <row r="353" spans="5:10" x14ac:dyDescent="0.3">
      <c r="E353" s="23"/>
      <c r="F353" s="23"/>
      <c r="G353" s="26"/>
      <c r="H353" s="23"/>
      <c r="I353" s="23"/>
      <c r="J353" s="23"/>
    </row>
    <row r="354" spans="5:10" x14ac:dyDescent="0.3">
      <c r="E354" s="23"/>
      <c r="F354" s="23"/>
      <c r="G354" s="26"/>
      <c r="H354" s="23"/>
      <c r="I354" s="23"/>
      <c r="J354" s="23"/>
    </row>
    <row r="355" spans="5:10" x14ac:dyDescent="0.3">
      <c r="E355" s="23"/>
      <c r="F355" s="23"/>
      <c r="G355" s="26"/>
      <c r="H355" s="23"/>
      <c r="I355" s="23"/>
      <c r="J355" s="23"/>
    </row>
    <row r="356" spans="5:10" x14ac:dyDescent="0.3">
      <c r="E356" s="23"/>
      <c r="F356" s="23"/>
      <c r="G356" s="26"/>
      <c r="H356" s="23"/>
      <c r="I356" s="23"/>
      <c r="J356" s="23"/>
    </row>
    <row r="357" spans="5:10" x14ac:dyDescent="0.3">
      <c r="E357" s="23"/>
      <c r="F357" s="23"/>
      <c r="G357" s="26"/>
      <c r="H357" s="23"/>
      <c r="I357" s="23"/>
      <c r="J357" s="23"/>
    </row>
    <row r="358" spans="5:10" x14ac:dyDescent="0.3">
      <c r="E358" s="23"/>
      <c r="F358" s="23"/>
      <c r="G358" s="26"/>
      <c r="H358" s="23"/>
      <c r="I358" s="23"/>
      <c r="J358" s="23"/>
    </row>
    <row r="359" spans="5:10" x14ac:dyDescent="0.3">
      <c r="E359" s="23"/>
      <c r="F359" s="23"/>
      <c r="G359" s="26"/>
      <c r="H359" s="23"/>
      <c r="I359" s="23"/>
      <c r="J359" s="23"/>
    </row>
    <row r="360" spans="5:10" x14ac:dyDescent="0.3">
      <c r="E360" s="23"/>
      <c r="F360" s="23"/>
      <c r="G360" s="26"/>
      <c r="H360" s="23"/>
      <c r="I360" s="23"/>
      <c r="J360" s="23"/>
    </row>
    <row r="361" spans="5:10" x14ac:dyDescent="0.3">
      <c r="E361" s="23"/>
      <c r="F361" s="23"/>
      <c r="G361" s="26"/>
      <c r="H361" s="23"/>
      <c r="I361" s="23"/>
      <c r="J361" s="23"/>
    </row>
    <row r="362" spans="5:10" x14ac:dyDescent="0.3">
      <c r="E362" s="23"/>
      <c r="F362" s="23"/>
      <c r="G362" s="26"/>
      <c r="H362" s="23"/>
      <c r="I362" s="23"/>
      <c r="J362" s="23"/>
    </row>
    <row r="363" spans="5:10" x14ac:dyDescent="0.3">
      <c r="E363" s="23"/>
      <c r="F363" s="23"/>
      <c r="G363" s="26"/>
      <c r="H363" s="23"/>
      <c r="I363" s="23"/>
      <c r="J363" s="23"/>
    </row>
    <row r="364" spans="5:10" x14ac:dyDescent="0.3">
      <c r="E364" s="23"/>
      <c r="F364" s="23"/>
      <c r="G364" s="26"/>
      <c r="H364" s="23"/>
      <c r="I364" s="23"/>
      <c r="J364" s="23"/>
    </row>
    <row r="365" spans="5:10" x14ac:dyDescent="0.3">
      <c r="E365" s="23"/>
      <c r="F365" s="23"/>
      <c r="G365" s="26"/>
      <c r="H365" s="23"/>
      <c r="I365" s="23"/>
      <c r="J365" s="23"/>
    </row>
    <row r="366" spans="5:10" x14ac:dyDescent="0.3">
      <c r="E366" s="23"/>
      <c r="F366" s="23"/>
      <c r="G366" s="26"/>
      <c r="H366" s="23"/>
      <c r="I366" s="23"/>
      <c r="J366" s="23"/>
    </row>
    <row r="367" spans="5:10" x14ac:dyDescent="0.3">
      <c r="E367" s="23"/>
      <c r="F367" s="23"/>
      <c r="G367" s="26"/>
      <c r="H367" s="23"/>
      <c r="I367" s="23"/>
      <c r="J367" s="23"/>
    </row>
    <row r="368" spans="5:10" x14ac:dyDescent="0.3">
      <c r="E368" s="23"/>
      <c r="F368" s="23"/>
      <c r="G368" s="26"/>
      <c r="H368" s="23"/>
      <c r="I368" s="23"/>
      <c r="J368" s="23"/>
    </row>
    <row r="369" spans="3:10" x14ac:dyDescent="0.3">
      <c r="E369" s="23"/>
      <c r="F369" s="23"/>
      <c r="G369" s="26"/>
      <c r="H369" s="23"/>
      <c r="I369" s="23"/>
      <c r="J369" s="23"/>
    </row>
    <row r="370" spans="3:10" x14ac:dyDescent="0.3">
      <c r="E370" s="23"/>
      <c r="F370" s="23"/>
      <c r="G370" s="26"/>
      <c r="H370" s="23"/>
      <c r="I370" s="23"/>
      <c r="J370" s="23"/>
    </row>
    <row r="371" spans="3:10" x14ac:dyDescent="0.3">
      <c r="E371" s="23"/>
      <c r="F371" s="23"/>
      <c r="G371" s="26"/>
      <c r="H371" s="23"/>
      <c r="I371" s="23"/>
      <c r="J371" s="23"/>
    </row>
    <row r="372" spans="3:10" x14ac:dyDescent="0.3">
      <c r="E372" s="23"/>
      <c r="F372" s="23"/>
      <c r="G372" s="26"/>
      <c r="H372" s="23"/>
      <c r="I372" s="23"/>
      <c r="J372" s="23"/>
    </row>
    <row r="373" spans="3:10" x14ac:dyDescent="0.3">
      <c r="E373" s="23"/>
      <c r="F373" s="23"/>
      <c r="G373" s="26"/>
      <c r="H373" s="23"/>
      <c r="I373" s="23"/>
      <c r="J373" s="23"/>
    </row>
    <row r="374" spans="3:10" x14ac:dyDescent="0.3">
      <c r="E374" s="23"/>
      <c r="F374" s="23"/>
      <c r="G374" s="26"/>
      <c r="H374" s="23"/>
      <c r="I374" s="23"/>
      <c r="J374" s="23"/>
    </row>
    <row r="375" spans="3:10" x14ac:dyDescent="0.3">
      <c r="E375" s="23"/>
      <c r="F375" s="23"/>
      <c r="G375" s="26"/>
      <c r="H375" s="23"/>
      <c r="I375" s="23"/>
      <c r="J375" s="23"/>
    </row>
    <row r="376" spans="3:10" x14ac:dyDescent="0.3">
      <c r="E376" s="23"/>
      <c r="F376" s="23"/>
      <c r="G376" s="26"/>
      <c r="H376" s="23"/>
      <c r="I376" s="23"/>
      <c r="J376" s="23"/>
    </row>
    <row r="377" spans="3:10" x14ac:dyDescent="0.3">
      <c r="E377" s="23"/>
      <c r="F377" s="23"/>
      <c r="G377" s="26"/>
      <c r="H377" s="23"/>
      <c r="I377" s="23"/>
      <c r="J377" s="23"/>
    </row>
    <row r="378" spans="3:10" x14ac:dyDescent="0.3">
      <c r="C378" s="29"/>
      <c r="D378" s="29"/>
      <c r="E378" s="23"/>
      <c r="F378" s="23"/>
      <c r="G378" s="26"/>
      <c r="H378" s="23"/>
      <c r="I378" s="23"/>
      <c r="J378" s="23"/>
    </row>
    <row r="379" spans="3:10" x14ac:dyDescent="0.3">
      <c r="E379" s="23"/>
      <c r="F379" s="23"/>
      <c r="G379" s="26"/>
      <c r="H379" s="23"/>
      <c r="I379" s="23"/>
      <c r="J379" s="23"/>
    </row>
    <row r="380" spans="3:10" x14ac:dyDescent="0.3">
      <c r="E380" s="23"/>
      <c r="F380" s="23"/>
      <c r="G380" s="26"/>
      <c r="H380" s="23"/>
      <c r="I380" s="23"/>
      <c r="J380" s="23"/>
    </row>
    <row r="381" spans="3:10" x14ac:dyDescent="0.3">
      <c r="E381" s="23"/>
      <c r="F381" s="23"/>
      <c r="G381" s="26"/>
      <c r="H381" s="23"/>
      <c r="I381" s="23"/>
      <c r="J381" s="23"/>
    </row>
    <row r="382" spans="3:10" x14ac:dyDescent="0.3">
      <c r="E382" s="23"/>
      <c r="F382" s="23"/>
      <c r="G382" s="26"/>
      <c r="H382" s="23"/>
      <c r="I382" s="23"/>
      <c r="J382" s="23"/>
    </row>
    <row r="383" spans="3:10" x14ac:dyDescent="0.3">
      <c r="C383" s="29"/>
      <c r="D383" s="29"/>
      <c r="E383" s="23"/>
      <c r="F383" s="23"/>
      <c r="G383" s="26"/>
      <c r="H383" s="23"/>
      <c r="I383" s="23"/>
      <c r="J383" s="23"/>
    </row>
    <row r="384" spans="3:10" x14ac:dyDescent="0.3">
      <c r="E384" s="23"/>
      <c r="F384" s="23"/>
      <c r="G384" s="26"/>
      <c r="H384" s="23"/>
      <c r="I384" s="23"/>
      <c r="J384" s="23"/>
    </row>
    <row r="385" spans="5:10" x14ac:dyDescent="0.3">
      <c r="E385" s="23"/>
      <c r="F385" s="23"/>
      <c r="G385" s="26"/>
      <c r="H385" s="23"/>
      <c r="I385" s="23"/>
      <c r="J385" s="23"/>
    </row>
    <row r="386" spans="5:10" x14ac:dyDescent="0.3">
      <c r="E386" s="23"/>
      <c r="F386" s="23"/>
      <c r="G386" s="26"/>
      <c r="H386" s="23"/>
      <c r="I386" s="23"/>
      <c r="J386" s="23"/>
    </row>
    <row r="387" spans="5:10" x14ac:dyDescent="0.3">
      <c r="E387" s="23"/>
      <c r="F387" s="23"/>
      <c r="G387" s="26"/>
      <c r="H387" s="23"/>
      <c r="I387" s="23"/>
      <c r="J387" s="23"/>
    </row>
    <row r="388" spans="5:10" x14ac:dyDescent="0.3">
      <c r="E388" s="23"/>
      <c r="F388" s="23"/>
      <c r="G388" s="26"/>
      <c r="H388" s="23"/>
      <c r="I388" s="23"/>
      <c r="J388" s="23"/>
    </row>
    <row r="389" spans="5:10" x14ac:dyDescent="0.3">
      <c r="E389" s="23"/>
      <c r="F389" s="23"/>
      <c r="G389" s="26"/>
      <c r="H389" s="23"/>
      <c r="I389" s="23"/>
      <c r="J389" s="23"/>
    </row>
    <row r="390" spans="5:10" x14ac:dyDescent="0.3">
      <c r="E390" s="23"/>
      <c r="F390" s="23"/>
      <c r="G390" s="26"/>
      <c r="H390" s="23"/>
      <c r="I390" s="23"/>
      <c r="J390" s="23"/>
    </row>
    <row r="391" spans="5:10" x14ac:dyDescent="0.3">
      <c r="E391" s="23"/>
      <c r="F391" s="23"/>
      <c r="G391" s="26"/>
      <c r="H391" s="23"/>
      <c r="I391" s="23"/>
      <c r="J391" s="23"/>
    </row>
    <row r="392" spans="5:10" x14ac:dyDescent="0.3">
      <c r="E392" s="23"/>
      <c r="F392" s="23"/>
      <c r="G392" s="26"/>
      <c r="H392" s="23"/>
      <c r="I392" s="23"/>
      <c r="J392" s="23"/>
    </row>
    <row r="393" spans="5:10" x14ac:dyDescent="0.3">
      <c r="E393" s="23"/>
      <c r="F393" s="23"/>
      <c r="G393" s="26"/>
      <c r="H393" s="23"/>
      <c r="I393" s="23"/>
      <c r="J393" s="23"/>
    </row>
    <row r="394" spans="5:10" x14ac:dyDescent="0.3">
      <c r="E394" s="23"/>
      <c r="F394" s="23"/>
      <c r="G394" s="26"/>
      <c r="H394" s="23"/>
      <c r="I394" s="23"/>
      <c r="J394" s="23"/>
    </row>
    <row r="395" spans="5:10" x14ac:dyDescent="0.3">
      <c r="E395" s="23"/>
      <c r="F395" s="23"/>
      <c r="G395" s="26"/>
      <c r="H395" s="23"/>
      <c r="I395" s="23"/>
      <c r="J395" s="23"/>
    </row>
    <row r="396" spans="5:10" x14ac:dyDescent="0.3">
      <c r="E396" s="23"/>
      <c r="F396" s="23"/>
      <c r="G396" s="26"/>
      <c r="H396" s="23"/>
      <c r="I396" s="23"/>
      <c r="J396" s="23"/>
    </row>
    <row r="397" spans="5:10" x14ac:dyDescent="0.3">
      <c r="E397" s="23"/>
      <c r="F397" s="23"/>
      <c r="G397" s="26"/>
      <c r="H397" s="23"/>
      <c r="I397" s="23"/>
      <c r="J397" s="23"/>
    </row>
    <row r="398" spans="5:10" x14ac:dyDescent="0.3">
      <c r="E398" s="23"/>
      <c r="F398" s="23"/>
      <c r="G398" s="26"/>
      <c r="H398" s="23"/>
      <c r="I398" s="23"/>
      <c r="J398" s="23"/>
    </row>
    <row r="399" spans="5:10" x14ac:dyDescent="0.3">
      <c r="E399" s="23"/>
      <c r="F399" s="23"/>
      <c r="G399" s="26"/>
      <c r="H399" s="23"/>
      <c r="I399" s="23"/>
      <c r="J399" s="23"/>
    </row>
    <row r="400" spans="5:10" x14ac:dyDescent="0.3">
      <c r="E400" s="23"/>
      <c r="F400" s="23"/>
      <c r="G400" s="26"/>
      <c r="H400" s="23"/>
      <c r="I400" s="23"/>
      <c r="J400" s="23"/>
    </row>
    <row r="401" spans="5:10" x14ac:dyDescent="0.3">
      <c r="E401" s="23"/>
      <c r="F401" s="23"/>
      <c r="G401" s="26"/>
      <c r="H401" s="23"/>
      <c r="I401" s="23"/>
      <c r="J401" s="23"/>
    </row>
    <row r="402" spans="5:10" x14ac:dyDescent="0.3">
      <c r="E402" s="23"/>
      <c r="F402" s="23"/>
      <c r="G402" s="26"/>
      <c r="H402" s="23"/>
      <c r="I402" s="23"/>
      <c r="J402" s="23"/>
    </row>
    <row r="403" spans="5:10" x14ac:dyDescent="0.3">
      <c r="E403" s="23"/>
      <c r="F403" s="23"/>
      <c r="G403" s="26"/>
      <c r="H403" s="23"/>
      <c r="I403" s="23"/>
      <c r="J403" s="23"/>
    </row>
    <row r="404" spans="5:10" x14ac:dyDescent="0.3">
      <c r="E404" s="23"/>
      <c r="F404" s="23"/>
      <c r="G404" s="26"/>
      <c r="H404" s="23"/>
      <c r="I404" s="23"/>
      <c r="J404" s="23"/>
    </row>
    <row r="405" spans="5:10" x14ac:dyDescent="0.3">
      <c r="E405" s="23"/>
      <c r="F405" s="23"/>
      <c r="G405" s="26"/>
      <c r="H405" s="23"/>
      <c r="I405" s="23"/>
      <c r="J405" s="23"/>
    </row>
    <row r="406" spans="5:10" x14ac:dyDescent="0.3">
      <c r="E406" s="23"/>
      <c r="F406" s="23"/>
      <c r="G406" s="26"/>
      <c r="H406" s="23"/>
      <c r="I406" s="23"/>
      <c r="J406" s="23"/>
    </row>
    <row r="407" spans="5:10" x14ac:dyDescent="0.3">
      <c r="E407" s="23"/>
      <c r="F407" s="23"/>
      <c r="G407" s="26"/>
      <c r="H407" s="23"/>
      <c r="I407" s="23"/>
      <c r="J407" s="23"/>
    </row>
    <row r="408" spans="5:10" x14ac:dyDescent="0.3">
      <c r="E408" s="23"/>
      <c r="F408" s="23"/>
      <c r="G408" s="26"/>
      <c r="H408" s="23"/>
      <c r="I408" s="23"/>
      <c r="J408" s="23"/>
    </row>
    <row r="409" spans="5:10" x14ac:dyDescent="0.3">
      <c r="E409" s="23"/>
      <c r="F409" s="23"/>
      <c r="G409" s="26"/>
      <c r="H409" s="23"/>
      <c r="I409" s="23"/>
      <c r="J409" s="23"/>
    </row>
    <row r="410" spans="5:10" x14ac:dyDescent="0.3">
      <c r="E410" s="23"/>
      <c r="F410" s="23"/>
      <c r="G410" s="26"/>
      <c r="H410" s="23"/>
      <c r="I410" s="23"/>
      <c r="J410" s="23"/>
    </row>
    <row r="411" spans="5:10" x14ac:dyDescent="0.3">
      <c r="E411" s="23"/>
      <c r="F411" s="23"/>
      <c r="G411" s="26"/>
      <c r="H411" s="23"/>
      <c r="I411" s="23"/>
      <c r="J411" s="23"/>
    </row>
    <row r="412" spans="5:10" x14ac:dyDescent="0.3">
      <c r="E412" s="23"/>
      <c r="F412" s="23"/>
      <c r="G412" s="26"/>
      <c r="H412" s="23"/>
      <c r="I412" s="23"/>
      <c r="J412" s="23"/>
    </row>
    <row r="413" spans="5:10" x14ac:dyDescent="0.3">
      <c r="E413" s="23"/>
      <c r="F413" s="23"/>
      <c r="G413" s="26"/>
      <c r="H413" s="23"/>
      <c r="I413" s="23"/>
      <c r="J413" s="23"/>
    </row>
    <row r="414" spans="5:10" x14ac:dyDescent="0.3">
      <c r="E414" s="23"/>
      <c r="F414" s="23"/>
      <c r="G414" s="26"/>
      <c r="H414" s="23"/>
      <c r="I414" s="23"/>
      <c r="J414" s="23"/>
    </row>
    <row r="415" spans="5:10" x14ac:dyDescent="0.3">
      <c r="E415" s="23"/>
      <c r="F415" s="23"/>
      <c r="G415" s="26"/>
      <c r="H415" s="23"/>
      <c r="I415" s="23"/>
      <c r="J415" s="23"/>
    </row>
    <row r="416" spans="5:10" x14ac:dyDescent="0.3">
      <c r="E416" s="23"/>
      <c r="F416" s="23"/>
      <c r="G416" s="26"/>
      <c r="H416" s="23"/>
      <c r="I416" s="23"/>
      <c r="J416" s="23"/>
    </row>
    <row r="417" spans="5:10" x14ac:dyDescent="0.3">
      <c r="E417" s="23"/>
      <c r="F417" s="23"/>
      <c r="G417" s="26"/>
      <c r="H417" s="23"/>
      <c r="I417" s="23"/>
      <c r="J417" s="23"/>
    </row>
    <row r="418" spans="5:10" x14ac:dyDescent="0.3">
      <c r="E418" s="23"/>
      <c r="F418" s="23"/>
      <c r="G418" s="26"/>
      <c r="H418" s="23"/>
      <c r="I418" s="23"/>
      <c r="J418" s="23"/>
    </row>
    <row r="419" spans="5:10" x14ac:dyDescent="0.3">
      <c r="E419" s="23"/>
      <c r="F419" s="23"/>
      <c r="G419" s="26"/>
      <c r="H419" s="23"/>
      <c r="I419" s="23"/>
      <c r="J419" s="23"/>
    </row>
    <row r="420" spans="5:10" x14ac:dyDescent="0.3">
      <c r="E420" s="23"/>
      <c r="F420" s="23"/>
      <c r="G420" s="26"/>
      <c r="H420" s="23"/>
      <c r="I420" s="23"/>
      <c r="J420" s="23"/>
    </row>
    <row r="421" spans="5:10" x14ac:dyDescent="0.3">
      <c r="E421" s="23"/>
      <c r="F421" s="23"/>
      <c r="G421" s="26"/>
      <c r="H421" s="23"/>
      <c r="I421" s="23"/>
      <c r="J421" s="23"/>
    </row>
    <row r="422" spans="5:10" x14ac:dyDescent="0.3">
      <c r="E422" s="23"/>
      <c r="F422" s="23"/>
      <c r="G422" s="26"/>
      <c r="H422" s="23"/>
      <c r="I422" s="23"/>
      <c r="J422" s="23"/>
    </row>
    <row r="423" spans="5:10" x14ac:dyDescent="0.3">
      <c r="E423" s="23"/>
      <c r="F423" s="23"/>
      <c r="G423" s="26"/>
      <c r="H423" s="23"/>
      <c r="I423" s="23"/>
      <c r="J423" s="23"/>
    </row>
    <row r="424" spans="5:10" x14ac:dyDescent="0.3">
      <c r="E424" s="23"/>
      <c r="F424" s="23"/>
      <c r="G424" s="26"/>
      <c r="H424" s="23"/>
      <c r="I424" s="23"/>
      <c r="J424" s="23"/>
    </row>
    <row r="425" spans="5:10" x14ac:dyDescent="0.3">
      <c r="E425" s="23"/>
      <c r="F425" s="23"/>
      <c r="G425" s="26"/>
      <c r="H425" s="23"/>
      <c r="I425" s="23"/>
      <c r="J425" s="23"/>
    </row>
    <row r="426" spans="5:10" x14ac:dyDescent="0.3">
      <c r="E426" s="23"/>
      <c r="F426" s="23"/>
      <c r="G426" s="26"/>
      <c r="H426" s="23"/>
      <c r="I426" s="23"/>
      <c r="J426" s="23"/>
    </row>
    <row r="427" spans="5:10" x14ac:dyDescent="0.3">
      <c r="E427" s="23"/>
      <c r="F427" s="23"/>
      <c r="G427" s="26"/>
      <c r="H427" s="23"/>
      <c r="I427" s="23"/>
      <c r="J427" s="23"/>
    </row>
    <row r="428" spans="5:10" x14ac:dyDescent="0.3">
      <c r="E428" s="23"/>
      <c r="F428" s="23"/>
      <c r="G428" s="26"/>
      <c r="H428" s="23"/>
      <c r="I428" s="23"/>
      <c r="J428" s="23"/>
    </row>
    <row r="429" spans="5:10" x14ac:dyDescent="0.3">
      <c r="E429" s="23"/>
      <c r="F429" s="23"/>
      <c r="G429" s="26"/>
      <c r="H429" s="23"/>
      <c r="I429" s="23"/>
      <c r="J429" s="23"/>
    </row>
    <row r="430" spans="5:10" x14ac:dyDescent="0.3">
      <c r="E430" s="23"/>
      <c r="F430" s="23"/>
      <c r="G430" s="26"/>
      <c r="H430" s="23"/>
      <c r="I430" s="23"/>
      <c r="J430" s="23"/>
    </row>
    <row r="431" spans="5:10" x14ac:dyDescent="0.3">
      <c r="E431" s="23"/>
      <c r="F431" s="23"/>
      <c r="G431" s="26"/>
      <c r="H431" s="23"/>
      <c r="I431" s="23"/>
      <c r="J431" s="23"/>
    </row>
    <row r="432" spans="5:10" x14ac:dyDescent="0.3">
      <c r="E432" s="23"/>
      <c r="F432" s="23"/>
      <c r="G432" s="26"/>
      <c r="H432" s="23"/>
      <c r="I432" s="23"/>
      <c r="J432" s="23"/>
    </row>
    <row r="433" spans="3:10" x14ac:dyDescent="0.3">
      <c r="E433" s="23"/>
      <c r="F433" s="23"/>
      <c r="G433" s="26"/>
      <c r="H433" s="23"/>
      <c r="I433" s="23"/>
      <c r="J433" s="23"/>
    </row>
    <row r="434" spans="3:10" x14ac:dyDescent="0.3">
      <c r="E434" s="23"/>
      <c r="F434" s="23"/>
      <c r="G434" s="26"/>
      <c r="H434" s="23"/>
      <c r="I434" s="23"/>
      <c r="J434" s="23"/>
    </row>
    <row r="435" spans="3:10" x14ac:dyDescent="0.3">
      <c r="E435" s="23"/>
      <c r="F435" s="23"/>
      <c r="G435" s="26"/>
      <c r="H435" s="23"/>
      <c r="I435" s="23"/>
      <c r="J435" s="23"/>
    </row>
    <row r="436" spans="3:10" x14ac:dyDescent="0.3">
      <c r="E436" s="23"/>
      <c r="F436" s="23"/>
      <c r="G436" s="26"/>
      <c r="H436" s="23"/>
      <c r="I436" s="23"/>
      <c r="J436" s="23"/>
    </row>
    <row r="437" spans="3:10" x14ac:dyDescent="0.3">
      <c r="E437" s="23"/>
      <c r="F437" s="23"/>
      <c r="G437" s="26"/>
      <c r="H437" s="23"/>
      <c r="I437" s="23"/>
      <c r="J437" s="23"/>
    </row>
    <row r="438" spans="3:10" x14ac:dyDescent="0.3">
      <c r="E438" s="23"/>
      <c r="F438" s="23"/>
      <c r="G438" s="26"/>
      <c r="H438" s="23"/>
      <c r="I438" s="23"/>
      <c r="J438" s="23"/>
    </row>
    <row r="439" spans="3:10" x14ac:dyDescent="0.3">
      <c r="E439" s="23"/>
      <c r="F439" s="23"/>
      <c r="G439" s="26"/>
      <c r="H439" s="23"/>
      <c r="I439" s="23"/>
      <c r="J439" s="23"/>
    </row>
    <row r="440" spans="3:10" x14ac:dyDescent="0.3">
      <c r="E440" s="23"/>
      <c r="F440" s="23"/>
      <c r="G440" s="26"/>
      <c r="H440" s="23"/>
      <c r="I440" s="23"/>
      <c r="J440" s="23"/>
    </row>
    <row r="441" spans="3:10" x14ac:dyDescent="0.3">
      <c r="C441" s="29"/>
      <c r="D441" s="29"/>
      <c r="E441" s="23"/>
      <c r="F441" s="23"/>
      <c r="G441" s="26"/>
      <c r="H441" s="23"/>
      <c r="I441" s="23"/>
      <c r="J441" s="23"/>
    </row>
    <row r="442" spans="3:10" x14ac:dyDescent="0.3">
      <c r="E442" s="23"/>
      <c r="F442" s="23"/>
      <c r="G442" s="26"/>
      <c r="H442" s="23"/>
      <c r="I442" s="23"/>
      <c r="J442" s="23"/>
    </row>
    <row r="443" spans="3:10" x14ac:dyDescent="0.3">
      <c r="E443" s="23"/>
      <c r="F443" s="23"/>
      <c r="G443" s="26"/>
      <c r="H443" s="23"/>
      <c r="I443" s="23"/>
      <c r="J443" s="23"/>
    </row>
    <row r="444" spans="3:10" x14ac:dyDescent="0.3">
      <c r="E444" s="23"/>
      <c r="F444" s="23"/>
      <c r="G444" s="26"/>
      <c r="H444" s="23"/>
      <c r="I444" s="23"/>
      <c r="J444" s="23"/>
    </row>
    <row r="445" spans="3:10" x14ac:dyDescent="0.3">
      <c r="E445" s="23"/>
      <c r="F445" s="23"/>
      <c r="G445" s="26"/>
      <c r="H445" s="23"/>
      <c r="I445" s="23"/>
      <c r="J445" s="23"/>
    </row>
    <row r="446" spans="3:10" x14ac:dyDescent="0.3">
      <c r="E446" s="23"/>
      <c r="F446" s="23"/>
      <c r="G446" s="26"/>
      <c r="H446" s="23"/>
      <c r="I446" s="23"/>
      <c r="J446" s="23"/>
    </row>
    <row r="447" spans="3:10" x14ac:dyDescent="0.3">
      <c r="E447" s="23"/>
      <c r="F447" s="23"/>
      <c r="G447" s="26"/>
      <c r="H447" s="23"/>
      <c r="I447" s="23"/>
      <c r="J447" s="23"/>
    </row>
    <row r="448" spans="3:10" x14ac:dyDescent="0.3">
      <c r="E448" s="23"/>
      <c r="F448" s="23"/>
      <c r="G448" s="26"/>
      <c r="H448" s="23"/>
      <c r="I448" s="23"/>
      <c r="J448" s="23"/>
    </row>
    <row r="449" spans="5:10" x14ac:dyDescent="0.3">
      <c r="E449" s="23"/>
      <c r="F449" s="23"/>
      <c r="G449" s="26"/>
      <c r="H449" s="23"/>
      <c r="I449" s="23"/>
      <c r="J449" s="23"/>
    </row>
    <row r="450" spans="5:10" x14ac:dyDescent="0.3">
      <c r="E450" s="23"/>
      <c r="F450" s="23"/>
      <c r="G450" s="26"/>
      <c r="H450" s="23"/>
      <c r="I450" s="23"/>
      <c r="J450" s="23"/>
    </row>
    <row r="451" spans="5:10" x14ac:dyDescent="0.3">
      <c r="E451" s="23"/>
      <c r="F451" s="23"/>
      <c r="G451" s="26"/>
      <c r="H451" s="23"/>
      <c r="I451" s="23"/>
      <c r="J451" s="23"/>
    </row>
    <row r="452" spans="5:10" x14ac:dyDescent="0.3">
      <c r="E452" s="23"/>
      <c r="F452" s="23"/>
      <c r="G452" s="26"/>
      <c r="H452" s="23"/>
      <c r="I452" s="23"/>
      <c r="J452" s="23"/>
    </row>
    <row r="453" spans="5:10" x14ac:dyDescent="0.3">
      <c r="E453" s="23"/>
      <c r="F453" s="23"/>
      <c r="G453" s="26"/>
      <c r="H453" s="23"/>
      <c r="I453" s="23"/>
      <c r="J453" s="23"/>
    </row>
    <row r="454" spans="5:10" x14ac:dyDescent="0.3">
      <c r="E454" s="23"/>
      <c r="F454" s="23"/>
      <c r="G454" s="26"/>
      <c r="H454" s="23"/>
      <c r="I454" s="23"/>
      <c r="J454" s="23"/>
    </row>
    <row r="455" spans="5:10" x14ac:dyDescent="0.3">
      <c r="E455" s="23"/>
      <c r="F455" s="23"/>
      <c r="G455" s="26"/>
      <c r="H455" s="23"/>
      <c r="I455" s="23"/>
      <c r="J455" s="23"/>
    </row>
    <row r="456" spans="5:10" x14ac:dyDescent="0.3">
      <c r="E456" s="23"/>
      <c r="F456" s="23"/>
      <c r="G456" s="26"/>
      <c r="H456" s="23"/>
      <c r="I456" s="23"/>
      <c r="J456" s="23"/>
    </row>
    <row r="457" spans="5:10" x14ac:dyDescent="0.3">
      <c r="E457" s="23"/>
      <c r="F457" s="23"/>
      <c r="G457" s="26"/>
      <c r="H457" s="23"/>
      <c r="I457" s="23"/>
      <c r="J457" s="23"/>
    </row>
    <row r="458" spans="5:10" x14ac:dyDescent="0.3">
      <c r="E458" s="23"/>
      <c r="F458" s="23"/>
      <c r="G458" s="26"/>
      <c r="H458" s="23"/>
      <c r="I458" s="23"/>
      <c r="J458" s="23"/>
    </row>
    <row r="459" spans="5:10" x14ac:dyDescent="0.3">
      <c r="E459" s="23"/>
      <c r="F459" s="23"/>
      <c r="G459" s="26"/>
      <c r="H459" s="23"/>
      <c r="I459" s="23"/>
      <c r="J459" s="23"/>
    </row>
    <row r="460" spans="5:10" x14ac:dyDescent="0.3">
      <c r="E460" s="23"/>
      <c r="F460" s="23"/>
      <c r="G460" s="26"/>
      <c r="H460" s="23"/>
      <c r="I460" s="23"/>
      <c r="J460" s="23"/>
    </row>
    <row r="461" spans="5:10" x14ac:dyDescent="0.3">
      <c r="E461" s="23"/>
      <c r="F461" s="23"/>
      <c r="G461" s="26"/>
      <c r="H461" s="23"/>
      <c r="I461" s="23"/>
      <c r="J461" s="23"/>
    </row>
    <row r="462" spans="5:10" x14ac:dyDescent="0.3">
      <c r="E462" s="23"/>
      <c r="F462" s="23"/>
      <c r="G462" s="26"/>
      <c r="H462" s="23"/>
      <c r="I462" s="23"/>
      <c r="J462" s="23"/>
    </row>
    <row r="463" spans="5:10" x14ac:dyDescent="0.3">
      <c r="E463" s="23"/>
      <c r="F463" s="23"/>
      <c r="G463" s="26"/>
      <c r="H463" s="23"/>
      <c r="I463" s="23"/>
      <c r="J463" s="23"/>
    </row>
    <row r="464" spans="5:10" x14ac:dyDescent="0.3">
      <c r="E464" s="23"/>
      <c r="F464" s="23"/>
      <c r="G464" s="26"/>
      <c r="H464" s="23"/>
      <c r="I464" s="23"/>
      <c r="J464" s="23"/>
    </row>
    <row r="465" spans="3:10" x14ac:dyDescent="0.3">
      <c r="E465" s="23"/>
      <c r="F465" s="23"/>
      <c r="G465" s="26"/>
      <c r="H465" s="23"/>
      <c r="I465" s="23"/>
      <c r="J465" s="23"/>
    </row>
    <row r="466" spans="3:10" x14ac:dyDescent="0.3">
      <c r="E466" s="23"/>
      <c r="F466" s="23"/>
      <c r="G466" s="26"/>
      <c r="H466" s="23"/>
      <c r="I466" s="23"/>
      <c r="J466" s="23"/>
    </row>
    <row r="467" spans="3:10" x14ac:dyDescent="0.3">
      <c r="C467" s="29"/>
      <c r="D467" s="29"/>
      <c r="E467" s="23"/>
      <c r="F467" s="23"/>
      <c r="G467" s="26"/>
      <c r="H467" s="23"/>
      <c r="I467" s="23"/>
      <c r="J467" s="23"/>
    </row>
    <row r="468" spans="3:10" x14ac:dyDescent="0.3">
      <c r="E468" s="23"/>
      <c r="F468" s="23"/>
      <c r="G468" s="26"/>
      <c r="H468" s="23"/>
      <c r="I468" s="23"/>
      <c r="J468" s="23"/>
    </row>
    <row r="469" spans="3:10" x14ac:dyDescent="0.3">
      <c r="E469" s="23"/>
      <c r="F469" s="23"/>
      <c r="G469" s="26"/>
      <c r="H469" s="23"/>
      <c r="I469" s="23"/>
      <c r="J469" s="23"/>
    </row>
    <row r="470" spans="3:10" x14ac:dyDescent="0.3">
      <c r="E470" s="23"/>
      <c r="F470" s="23"/>
      <c r="G470" s="26"/>
      <c r="H470" s="23"/>
      <c r="I470" s="23"/>
      <c r="J470" s="23"/>
    </row>
    <row r="471" spans="3:10" x14ac:dyDescent="0.3">
      <c r="E471" s="23"/>
      <c r="F471" s="23"/>
      <c r="G471" s="26"/>
      <c r="H471" s="23"/>
      <c r="I471" s="23"/>
      <c r="J471" s="23"/>
    </row>
    <row r="472" spans="3:10" x14ac:dyDescent="0.3">
      <c r="C472" s="29"/>
      <c r="D472" s="29"/>
      <c r="E472" s="23"/>
      <c r="F472" s="23"/>
      <c r="G472" s="26"/>
      <c r="H472" s="23"/>
      <c r="I472" s="23"/>
      <c r="J472" s="23"/>
    </row>
    <row r="473" spans="3:10" x14ac:dyDescent="0.3">
      <c r="E473" s="23"/>
      <c r="F473" s="23"/>
      <c r="G473" s="26"/>
      <c r="H473" s="23"/>
      <c r="I473" s="23"/>
      <c r="J473" s="23"/>
    </row>
    <row r="474" spans="3:10" x14ac:dyDescent="0.3">
      <c r="E474" s="23"/>
      <c r="F474" s="23"/>
      <c r="G474" s="26"/>
      <c r="H474" s="23"/>
      <c r="I474" s="23"/>
      <c r="J474" s="23"/>
    </row>
    <row r="475" spans="3:10" x14ac:dyDescent="0.3">
      <c r="E475" s="23"/>
      <c r="F475" s="23"/>
      <c r="G475" s="26"/>
      <c r="H475" s="23"/>
      <c r="I475" s="23"/>
      <c r="J475" s="23"/>
    </row>
    <row r="476" spans="3:10" x14ac:dyDescent="0.3">
      <c r="E476" s="23"/>
      <c r="F476" s="23"/>
      <c r="G476" s="26"/>
      <c r="H476" s="23"/>
      <c r="I476" s="23"/>
      <c r="J476" s="23"/>
    </row>
    <row r="477" spans="3:10" x14ac:dyDescent="0.3">
      <c r="E477" s="23"/>
      <c r="F477" s="23"/>
      <c r="G477" s="26"/>
      <c r="H477" s="23"/>
      <c r="I477" s="23"/>
      <c r="J477" s="23"/>
    </row>
    <row r="478" spans="3:10" x14ac:dyDescent="0.3">
      <c r="E478" s="23"/>
      <c r="F478" s="23"/>
      <c r="G478" s="26"/>
      <c r="H478" s="23"/>
      <c r="I478" s="23"/>
      <c r="J478" s="23"/>
    </row>
    <row r="479" spans="3:10" x14ac:dyDescent="0.3">
      <c r="E479" s="23"/>
      <c r="F479" s="23"/>
      <c r="G479" s="26"/>
      <c r="H479" s="23"/>
      <c r="I479" s="23"/>
      <c r="J479" s="23"/>
    </row>
    <row r="480" spans="3:10" x14ac:dyDescent="0.3">
      <c r="E480" s="23"/>
      <c r="F480" s="23"/>
      <c r="G480" s="26"/>
      <c r="H480" s="23"/>
      <c r="I480" s="23"/>
      <c r="J480" s="23"/>
    </row>
    <row r="481" spans="5:10" x14ac:dyDescent="0.3">
      <c r="E481" s="23"/>
      <c r="F481" s="23"/>
      <c r="G481" s="26"/>
      <c r="H481" s="23"/>
      <c r="I481" s="23"/>
      <c r="J481" s="23"/>
    </row>
    <row r="482" spans="5:10" x14ac:dyDescent="0.3">
      <c r="E482" s="23"/>
      <c r="F482" s="23"/>
      <c r="G482" s="26"/>
      <c r="H482" s="23"/>
      <c r="I482" s="23"/>
      <c r="J482" s="23"/>
    </row>
    <row r="483" spans="5:10" x14ac:dyDescent="0.3">
      <c r="E483" s="23"/>
      <c r="F483" s="23"/>
      <c r="G483" s="26"/>
      <c r="H483" s="23"/>
      <c r="I483" s="23"/>
      <c r="J483" s="23"/>
    </row>
    <row r="484" spans="5:10" x14ac:dyDescent="0.3">
      <c r="E484" s="23"/>
      <c r="F484" s="23"/>
      <c r="G484" s="26"/>
      <c r="H484" s="23"/>
      <c r="I484" s="23"/>
      <c r="J484" s="23"/>
    </row>
    <row r="485" spans="5:10" x14ac:dyDescent="0.3">
      <c r="E485" s="23"/>
      <c r="F485" s="23"/>
      <c r="G485" s="26"/>
      <c r="H485" s="23"/>
      <c r="I485" s="23"/>
      <c r="J485" s="23"/>
    </row>
    <row r="486" spans="5:10" x14ac:dyDescent="0.3">
      <c r="E486" s="23"/>
      <c r="F486" s="23"/>
      <c r="G486" s="26"/>
      <c r="H486" s="23"/>
      <c r="I486" s="23"/>
      <c r="J486" s="23"/>
    </row>
    <row r="487" spans="5:10" x14ac:dyDescent="0.3">
      <c r="E487" s="23"/>
      <c r="F487" s="23"/>
      <c r="G487" s="26"/>
      <c r="H487" s="23"/>
      <c r="I487" s="23"/>
      <c r="J487" s="23"/>
    </row>
    <row r="488" spans="5:10" x14ac:dyDescent="0.3">
      <c r="E488" s="23"/>
      <c r="F488" s="23"/>
      <c r="G488" s="26"/>
      <c r="H488" s="23"/>
      <c r="I488" s="23"/>
      <c r="J488" s="23"/>
    </row>
    <row r="489" spans="5:10" x14ac:dyDescent="0.3">
      <c r="E489" s="23"/>
      <c r="F489" s="23"/>
      <c r="G489" s="26"/>
      <c r="H489" s="23"/>
      <c r="I489" s="23"/>
      <c r="J489" s="23"/>
    </row>
    <row r="490" spans="5:10" x14ac:dyDescent="0.3">
      <c r="E490" s="23"/>
      <c r="F490" s="23"/>
      <c r="G490" s="26"/>
      <c r="H490" s="23"/>
      <c r="I490" s="23"/>
      <c r="J490" s="23"/>
    </row>
    <row r="491" spans="5:10" x14ac:dyDescent="0.3">
      <c r="E491" s="23"/>
      <c r="F491" s="23"/>
      <c r="G491" s="26"/>
      <c r="H491" s="23"/>
      <c r="I491" s="23"/>
      <c r="J491" s="23"/>
    </row>
    <row r="492" spans="5:10" x14ac:dyDescent="0.3">
      <c r="E492" s="23"/>
      <c r="F492" s="23"/>
      <c r="G492" s="26"/>
      <c r="H492" s="23"/>
      <c r="I492" s="23"/>
      <c r="J492" s="23"/>
    </row>
    <row r="493" spans="5:10" x14ac:dyDescent="0.3">
      <c r="E493" s="23"/>
      <c r="F493" s="23"/>
      <c r="G493" s="26"/>
      <c r="H493" s="23"/>
      <c r="I493" s="23"/>
      <c r="J493" s="23"/>
    </row>
    <row r="494" spans="5:10" x14ac:dyDescent="0.3">
      <c r="E494" s="23"/>
      <c r="F494" s="23"/>
      <c r="G494" s="26"/>
      <c r="H494" s="23"/>
      <c r="I494" s="23"/>
      <c r="J494" s="23"/>
    </row>
    <row r="495" spans="5:10" x14ac:dyDescent="0.3">
      <c r="E495" s="23"/>
      <c r="F495" s="23"/>
      <c r="G495" s="26"/>
      <c r="H495" s="23"/>
      <c r="I495" s="23"/>
      <c r="J495" s="23"/>
    </row>
    <row r="496" spans="5:10" x14ac:dyDescent="0.3">
      <c r="E496" s="23"/>
      <c r="F496" s="23"/>
      <c r="G496" s="26"/>
      <c r="H496" s="23"/>
      <c r="I496" s="23"/>
      <c r="J496" s="23"/>
    </row>
    <row r="497" spans="5:10" x14ac:dyDescent="0.3">
      <c r="E497" s="23"/>
      <c r="F497" s="23"/>
      <c r="G497" s="26"/>
      <c r="H497" s="23"/>
      <c r="I497" s="23"/>
      <c r="J497" s="23"/>
    </row>
    <row r="498" spans="5:10" x14ac:dyDescent="0.3">
      <c r="E498" s="23"/>
      <c r="F498" s="23"/>
      <c r="G498" s="26"/>
      <c r="H498" s="23"/>
      <c r="I498" s="23"/>
      <c r="J498" s="23"/>
    </row>
    <row r="499" spans="5:10" x14ac:dyDescent="0.3">
      <c r="E499" s="23"/>
      <c r="F499" s="23"/>
      <c r="G499" s="26"/>
      <c r="H499" s="23"/>
      <c r="I499" s="23"/>
      <c r="J499" s="23"/>
    </row>
    <row r="500" spans="5:10" x14ac:dyDescent="0.3">
      <c r="E500" s="23"/>
      <c r="F500" s="23"/>
      <c r="G500" s="26"/>
      <c r="H500" s="23"/>
      <c r="I500" s="23"/>
      <c r="J500" s="23"/>
    </row>
    <row r="501" spans="5:10" x14ac:dyDescent="0.3">
      <c r="E501" s="23"/>
      <c r="F501" s="23"/>
      <c r="G501" s="26"/>
      <c r="H501" s="23"/>
      <c r="I501" s="23"/>
      <c r="J501" s="23"/>
    </row>
    <row r="502" spans="5:10" x14ac:dyDescent="0.3">
      <c r="E502" s="23"/>
      <c r="F502" s="23"/>
      <c r="G502" s="26"/>
      <c r="H502" s="23"/>
      <c r="I502" s="23"/>
      <c r="J502" s="23"/>
    </row>
    <row r="503" spans="5:10" x14ac:dyDescent="0.3">
      <c r="E503" s="23"/>
      <c r="F503" s="23"/>
      <c r="G503" s="26"/>
      <c r="H503" s="23"/>
      <c r="I503" s="23"/>
      <c r="J503" s="23"/>
    </row>
    <row r="504" spans="5:10" x14ac:dyDescent="0.3">
      <c r="E504" s="23"/>
      <c r="F504" s="23"/>
      <c r="G504" s="26"/>
      <c r="H504" s="23"/>
      <c r="I504" s="23"/>
      <c r="J504" s="23"/>
    </row>
    <row r="505" spans="5:10" x14ac:dyDescent="0.3">
      <c r="E505" s="23"/>
      <c r="F505" s="23"/>
      <c r="G505" s="26"/>
      <c r="H505" s="23"/>
      <c r="I505" s="23"/>
      <c r="J505" s="23"/>
    </row>
    <row r="506" spans="5:10" x14ac:dyDescent="0.3">
      <c r="E506" s="23"/>
      <c r="F506" s="23"/>
      <c r="G506" s="26"/>
      <c r="H506" s="23"/>
      <c r="I506" s="23"/>
      <c r="J506" s="23"/>
    </row>
    <row r="507" spans="5:10" x14ac:dyDescent="0.3">
      <c r="E507" s="23"/>
      <c r="F507" s="23"/>
      <c r="G507" s="26"/>
      <c r="H507" s="23"/>
      <c r="I507" s="23"/>
      <c r="J507" s="23"/>
    </row>
    <row r="508" spans="5:10" x14ac:dyDescent="0.3">
      <c r="E508" s="23"/>
      <c r="F508" s="23"/>
      <c r="G508" s="26"/>
      <c r="H508" s="23"/>
      <c r="I508" s="23"/>
      <c r="J508" s="23"/>
    </row>
    <row r="509" spans="5:10" x14ac:dyDescent="0.3">
      <c r="E509" s="23"/>
      <c r="F509" s="23"/>
      <c r="G509" s="26"/>
      <c r="H509" s="23"/>
      <c r="I509" s="23"/>
      <c r="J509" s="23"/>
    </row>
    <row r="510" spans="5:10" x14ac:dyDescent="0.3">
      <c r="E510" s="23"/>
      <c r="F510" s="23"/>
      <c r="G510" s="26"/>
      <c r="H510" s="23"/>
      <c r="I510" s="23"/>
      <c r="J510" s="23"/>
    </row>
    <row r="511" spans="5:10" x14ac:dyDescent="0.3">
      <c r="E511" s="23"/>
      <c r="F511" s="23"/>
      <c r="G511" s="26"/>
      <c r="H511" s="23"/>
      <c r="I511" s="23"/>
      <c r="J511" s="23"/>
    </row>
    <row r="512" spans="5:10" x14ac:dyDescent="0.3">
      <c r="E512" s="23"/>
      <c r="F512" s="23"/>
      <c r="G512" s="26"/>
      <c r="H512" s="23"/>
      <c r="I512" s="23"/>
      <c r="J512" s="23"/>
    </row>
    <row r="513" spans="5:10" x14ac:dyDescent="0.3">
      <c r="E513" s="23"/>
      <c r="F513" s="23"/>
      <c r="G513" s="26"/>
      <c r="H513" s="23"/>
      <c r="I513" s="23"/>
      <c r="J513" s="23"/>
    </row>
    <row r="514" spans="5:10" x14ac:dyDescent="0.3">
      <c r="E514" s="23"/>
      <c r="F514" s="23"/>
      <c r="G514" s="26"/>
      <c r="H514" s="23"/>
      <c r="I514" s="23"/>
      <c r="J514" s="23"/>
    </row>
    <row r="515" spans="5:10" x14ac:dyDescent="0.3">
      <c r="E515" s="23"/>
      <c r="F515" s="23"/>
      <c r="G515" s="26"/>
      <c r="H515" s="23"/>
      <c r="I515" s="23"/>
      <c r="J515" s="23"/>
    </row>
    <row r="516" spans="5:10" x14ac:dyDescent="0.3">
      <c r="E516" s="23"/>
      <c r="F516" s="23"/>
      <c r="G516" s="26"/>
      <c r="H516" s="23"/>
      <c r="I516" s="23"/>
      <c r="J516" s="23"/>
    </row>
    <row r="517" spans="5:10" x14ac:dyDescent="0.3">
      <c r="E517" s="23"/>
      <c r="F517" s="23"/>
      <c r="G517" s="26"/>
      <c r="H517" s="23"/>
      <c r="I517" s="23"/>
      <c r="J517" s="23"/>
    </row>
    <row r="518" spans="5:10" x14ac:dyDescent="0.3">
      <c r="E518" s="23"/>
      <c r="F518" s="23"/>
      <c r="G518" s="26"/>
      <c r="H518" s="23"/>
      <c r="I518" s="23"/>
      <c r="J518" s="23"/>
    </row>
    <row r="519" spans="5:10" x14ac:dyDescent="0.3">
      <c r="E519" s="23"/>
      <c r="F519" s="23"/>
      <c r="G519" s="26"/>
      <c r="H519" s="23"/>
      <c r="I519" s="23"/>
      <c r="J519" s="23"/>
    </row>
    <row r="520" spans="5:10" x14ac:dyDescent="0.3">
      <c r="E520" s="23"/>
      <c r="F520" s="23"/>
      <c r="G520" s="26"/>
      <c r="H520" s="23"/>
      <c r="I520" s="23"/>
      <c r="J520" s="23"/>
    </row>
    <row r="521" spans="5:10" x14ac:dyDescent="0.3">
      <c r="E521" s="23"/>
      <c r="F521" s="23"/>
      <c r="G521" s="26"/>
      <c r="H521" s="23"/>
      <c r="I521" s="23"/>
      <c r="J521" s="23"/>
    </row>
    <row r="522" spans="5:10" x14ac:dyDescent="0.3">
      <c r="E522" s="23"/>
      <c r="F522" s="23"/>
      <c r="G522" s="26"/>
      <c r="H522" s="23"/>
      <c r="I522" s="23"/>
      <c r="J522" s="23"/>
    </row>
    <row r="523" spans="5:10" x14ac:dyDescent="0.3">
      <c r="E523" s="23"/>
      <c r="F523" s="23"/>
      <c r="G523" s="26"/>
      <c r="H523" s="23"/>
      <c r="I523" s="23"/>
      <c r="J523" s="23"/>
    </row>
    <row r="524" spans="5:10" x14ac:dyDescent="0.3">
      <c r="E524" s="23"/>
      <c r="F524" s="23"/>
      <c r="G524" s="26"/>
      <c r="H524" s="23"/>
      <c r="I524" s="23"/>
      <c r="J524" s="23"/>
    </row>
    <row r="525" spans="5:10" x14ac:dyDescent="0.3">
      <c r="E525" s="23"/>
      <c r="F525" s="23"/>
      <c r="G525" s="26"/>
      <c r="H525" s="23"/>
      <c r="I525" s="23"/>
      <c r="J525" s="23"/>
    </row>
    <row r="526" spans="5:10" x14ac:dyDescent="0.3">
      <c r="E526" s="23"/>
      <c r="F526" s="23"/>
      <c r="G526" s="26"/>
      <c r="H526" s="23"/>
      <c r="I526" s="23"/>
      <c r="J526" s="23"/>
    </row>
    <row r="527" spans="5:10" x14ac:dyDescent="0.3">
      <c r="E527" s="23"/>
      <c r="F527" s="23"/>
      <c r="G527" s="26"/>
      <c r="H527" s="23"/>
      <c r="I527" s="23"/>
      <c r="J527" s="23"/>
    </row>
    <row r="528" spans="5:10" x14ac:dyDescent="0.3">
      <c r="E528" s="23"/>
      <c r="F528" s="23"/>
      <c r="G528" s="26"/>
      <c r="H528" s="23"/>
      <c r="I528" s="23"/>
      <c r="J528" s="23"/>
    </row>
    <row r="529" spans="3:10" x14ac:dyDescent="0.3">
      <c r="E529" s="23"/>
      <c r="F529" s="23"/>
      <c r="G529" s="26"/>
      <c r="H529" s="23"/>
      <c r="I529" s="23"/>
      <c r="J529" s="23"/>
    </row>
    <row r="530" spans="3:10" x14ac:dyDescent="0.3">
      <c r="C530" s="29"/>
      <c r="D530" s="29"/>
      <c r="E530" s="23"/>
      <c r="F530" s="23"/>
      <c r="G530" s="26"/>
      <c r="H530" s="23"/>
      <c r="I530" s="23"/>
      <c r="J530" s="23"/>
    </row>
    <row r="531" spans="3:10" x14ac:dyDescent="0.3">
      <c r="E531" s="23"/>
      <c r="F531" s="23"/>
      <c r="G531" s="26"/>
      <c r="H531" s="23"/>
      <c r="I531" s="23"/>
      <c r="J531" s="23"/>
    </row>
    <row r="532" spans="3:10" x14ac:dyDescent="0.3">
      <c r="E532" s="23"/>
      <c r="F532" s="23"/>
      <c r="G532" s="26"/>
      <c r="H532" s="23"/>
      <c r="I532" s="23"/>
      <c r="J532" s="23"/>
    </row>
    <row r="533" spans="3:10" x14ac:dyDescent="0.3">
      <c r="E533" s="23"/>
      <c r="F533" s="23"/>
      <c r="G533" s="26"/>
      <c r="H533" s="23"/>
      <c r="I533" s="23"/>
      <c r="J533" s="23"/>
    </row>
    <row r="534" spans="3:10" x14ac:dyDescent="0.3">
      <c r="E534" s="23"/>
      <c r="F534" s="23"/>
      <c r="G534" s="26"/>
      <c r="H534" s="23"/>
      <c r="I534" s="23"/>
      <c r="J534" s="23"/>
    </row>
    <row r="535" spans="3:10" x14ac:dyDescent="0.3">
      <c r="E535" s="23"/>
      <c r="F535" s="23"/>
      <c r="G535" s="26"/>
      <c r="H535" s="23"/>
      <c r="I535" s="23"/>
      <c r="J535" s="23"/>
    </row>
    <row r="536" spans="3:10" x14ac:dyDescent="0.3">
      <c r="E536" s="23"/>
      <c r="F536" s="23"/>
      <c r="G536" s="26"/>
      <c r="H536" s="23"/>
      <c r="I536" s="23"/>
      <c r="J536" s="23"/>
    </row>
    <row r="537" spans="3:10" x14ac:dyDescent="0.3">
      <c r="E537" s="23"/>
      <c r="F537" s="23"/>
      <c r="G537" s="26"/>
      <c r="H537" s="23"/>
      <c r="I537" s="23"/>
      <c r="J537" s="23"/>
    </row>
    <row r="538" spans="3:10" x14ac:dyDescent="0.3">
      <c r="E538" s="23"/>
      <c r="F538" s="23"/>
      <c r="G538" s="26"/>
      <c r="H538" s="23"/>
      <c r="I538" s="23"/>
      <c r="J538" s="23"/>
    </row>
    <row r="539" spans="3:10" x14ac:dyDescent="0.3">
      <c r="E539" s="23"/>
      <c r="F539" s="23"/>
      <c r="G539" s="26"/>
      <c r="H539" s="23"/>
      <c r="I539" s="23"/>
      <c r="J539" s="23"/>
    </row>
    <row r="540" spans="3:10" x14ac:dyDescent="0.3">
      <c r="E540" s="23"/>
      <c r="F540" s="23"/>
      <c r="G540" s="26"/>
      <c r="H540" s="23"/>
      <c r="I540" s="23"/>
      <c r="J540" s="23"/>
    </row>
    <row r="541" spans="3:10" x14ac:dyDescent="0.3">
      <c r="E541" s="23"/>
      <c r="F541" s="23"/>
      <c r="G541" s="26"/>
      <c r="H541" s="23"/>
      <c r="I541" s="23"/>
      <c r="J541" s="23"/>
    </row>
    <row r="542" spans="3:10" x14ac:dyDescent="0.3">
      <c r="E542" s="23"/>
      <c r="F542" s="23"/>
      <c r="G542" s="26"/>
      <c r="H542" s="23"/>
      <c r="I542" s="23"/>
      <c r="J542" s="23"/>
    </row>
    <row r="543" spans="3:10" x14ac:dyDescent="0.3">
      <c r="E543" s="23"/>
      <c r="F543" s="23"/>
      <c r="G543" s="26"/>
      <c r="H543" s="23"/>
      <c r="I543" s="23"/>
      <c r="J543" s="23"/>
    </row>
    <row r="544" spans="3:10" x14ac:dyDescent="0.3">
      <c r="E544" s="23"/>
      <c r="F544" s="23"/>
      <c r="G544" s="26"/>
      <c r="H544" s="23"/>
      <c r="I544" s="23"/>
      <c r="J544" s="23"/>
    </row>
    <row r="545" spans="3:10" x14ac:dyDescent="0.3">
      <c r="E545" s="23"/>
      <c r="F545" s="23"/>
      <c r="G545" s="26"/>
      <c r="H545" s="23"/>
      <c r="I545" s="23"/>
      <c r="J545" s="23"/>
    </row>
    <row r="546" spans="3:10" x14ac:dyDescent="0.3">
      <c r="E546" s="23"/>
      <c r="F546" s="23"/>
      <c r="G546" s="26"/>
      <c r="H546" s="23"/>
      <c r="I546" s="23"/>
      <c r="J546" s="23"/>
    </row>
    <row r="547" spans="3:10" x14ac:dyDescent="0.3">
      <c r="E547" s="23"/>
      <c r="F547" s="23"/>
      <c r="G547" s="26"/>
      <c r="H547" s="23"/>
      <c r="I547" s="23"/>
      <c r="J547" s="23"/>
    </row>
    <row r="548" spans="3:10" x14ac:dyDescent="0.3">
      <c r="E548" s="23"/>
      <c r="F548" s="23"/>
      <c r="G548" s="26"/>
      <c r="H548" s="23"/>
      <c r="I548" s="23"/>
      <c r="J548" s="23"/>
    </row>
    <row r="549" spans="3:10" x14ac:dyDescent="0.3">
      <c r="E549" s="23"/>
      <c r="F549" s="23"/>
      <c r="G549" s="26"/>
      <c r="H549" s="23"/>
      <c r="I549" s="23"/>
      <c r="J549" s="23"/>
    </row>
    <row r="550" spans="3:10" x14ac:dyDescent="0.3">
      <c r="E550" s="23"/>
      <c r="F550" s="23"/>
      <c r="G550" s="26"/>
      <c r="H550" s="23"/>
      <c r="I550" s="23"/>
      <c r="J550" s="23"/>
    </row>
    <row r="551" spans="3:10" x14ac:dyDescent="0.3">
      <c r="E551" s="23"/>
      <c r="F551" s="23"/>
      <c r="G551" s="26"/>
      <c r="H551" s="23"/>
      <c r="I551" s="23"/>
      <c r="J551" s="23"/>
    </row>
    <row r="552" spans="3:10" x14ac:dyDescent="0.3">
      <c r="E552" s="23"/>
      <c r="F552" s="23"/>
      <c r="G552" s="26"/>
      <c r="H552" s="23"/>
      <c r="I552" s="23"/>
      <c r="J552" s="23"/>
    </row>
    <row r="553" spans="3:10" x14ac:dyDescent="0.3">
      <c r="E553" s="23"/>
      <c r="F553" s="23"/>
      <c r="G553" s="26"/>
      <c r="H553" s="23"/>
      <c r="I553" s="23"/>
      <c r="J553" s="23"/>
    </row>
    <row r="554" spans="3:10" x14ac:dyDescent="0.3">
      <c r="E554" s="23"/>
      <c r="F554" s="23"/>
      <c r="G554" s="26"/>
      <c r="H554" s="23"/>
      <c r="I554" s="23"/>
      <c r="J554" s="23"/>
    </row>
    <row r="555" spans="3:10" x14ac:dyDescent="0.3">
      <c r="E555" s="23"/>
      <c r="F555" s="23"/>
      <c r="G555" s="26"/>
      <c r="H555" s="23"/>
      <c r="I555" s="23"/>
      <c r="J555" s="23"/>
    </row>
    <row r="556" spans="3:10" x14ac:dyDescent="0.3">
      <c r="C556" s="29"/>
      <c r="D556" s="29"/>
      <c r="E556" s="23"/>
      <c r="F556" s="23"/>
      <c r="G556" s="26"/>
      <c r="H556" s="23"/>
      <c r="I556" s="23"/>
      <c r="J556" s="23"/>
    </row>
    <row r="557" spans="3:10" x14ac:dyDescent="0.3">
      <c r="E557" s="23"/>
      <c r="F557" s="23"/>
      <c r="G557" s="26"/>
      <c r="H557" s="23"/>
      <c r="I557" s="23"/>
      <c r="J557" s="23"/>
    </row>
    <row r="558" spans="3:10" x14ac:dyDescent="0.3">
      <c r="E558" s="23"/>
      <c r="F558" s="23"/>
      <c r="G558" s="26"/>
      <c r="H558" s="23"/>
      <c r="I558" s="23"/>
      <c r="J558" s="23"/>
    </row>
    <row r="559" spans="3:10" x14ac:dyDescent="0.3">
      <c r="E559" s="23"/>
      <c r="F559" s="23"/>
      <c r="G559" s="26"/>
      <c r="H559" s="23"/>
      <c r="I559" s="23"/>
      <c r="J559" s="23"/>
    </row>
    <row r="560" spans="3:10" x14ac:dyDescent="0.3">
      <c r="E560" s="23"/>
      <c r="F560" s="23"/>
      <c r="G560" s="26"/>
      <c r="H560" s="23"/>
      <c r="I560" s="23"/>
      <c r="J560" s="23"/>
    </row>
    <row r="561" spans="3:10" x14ac:dyDescent="0.3">
      <c r="C561" s="29"/>
      <c r="D561" s="29"/>
      <c r="E561" s="23"/>
      <c r="F561" s="23"/>
      <c r="G561" s="26"/>
      <c r="H561" s="23"/>
      <c r="I561" s="23"/>
      <c r="J561" s="23"/>
    </row>
    <row r="562" spans="3:10" x14ac:dyDescent="0.3">
      <c r="E562" s="23"/>
      <c r="F562" s="23"/>
      <c r="G562" s="26"/>
      <c r="H562" s="23"/>
      <c r="I562" s="23"/>
      <c r="J562" s="23"/>
    </row>
    <row r="563" spans="3:10" x14ac:dyDescent="0.3">
      <c r="E563" s="23"/>
      <c r="F563" s="23"/>
      <c r="G563" s="26"/>
      <c r="H563" s="23"/>
      <c r="I563" s="23"/>
      <c r="J563" s="23"/>
    </row>
    <row r="564" spans="3:10" x14ac:dyDescent="0.3">
      <c r="E564" s="23"/>
      <c r="F564" s="23"/>
      <c r="G564" s="26"/>
      <c r="H564" s="23"/>
      <c r="I564" s="23"/>
      <c r="J564" s="23"/>
    </row>
    <row r="565" spans="3:10" x14ac:dyDescent="0.3">
      <c r="E565" s="23"/>
      <c r="F565" s="23"/>
      <c r="G565" s="26"/>
      <c r="H565" s="23"/>
      <c r="I565" s="23"/>
      <c r="J565" s="23"/>
    </row>
    <row r="566" spans="3:10" x14ac:dyDescent="0.3">
      <c r="E566" s="23"/>
      <c r="F566" s="23"/>
      <c r="G566" s="26"/>
      <c r="H566" s="23"/>
      <c r="I566" s="23"/>
      <c r="J566" s="23"/>
    </row>
    <row r="567" spans="3:10" x14ac:dyDescent="0.3">
      <c r="E567" s="23"/>
      <c r="F567" s="23"/>
      <c r="G567" s="26"/>
      <c r="H567" s="23"/>
      <c r="I567" s="23"/>
      <c r="J567" s="23"/>
    </row>
    <row r="568" spans="3:10" x14ac:dyDescent="0.3">
      <c r="E568" s="23"/>
      <c r="F568" s="23"/>
      <c r="G568" s="26"/>
      <c r="H568" s="23"/>
      <c r="I568" s="23"/>
      <c r="J568" s="23"/>
    </row>
    <row r="569" spans="3:10" x14ac:dyDescent="0.3">
      <c r="E569" s="23"/>
      <c r="F569" s="23"/>
      <c r="G569" s="26"/>
      <c r="H569" s="23"/>
      <c r="I569" s="23"/>
      <c r="J569" s="23"/>
    </row>
    <row r="570" spans="3:10" x14ac:dyDescent="0.3">
      <c r="E570" s="23"/>
      <c r="F570" s="23"/>
      <c r="G570" s="26"/>
      <c r="H570" s="23"/>
      <c r="I570" s="23"/>
      <c r="J570" s="23"/>
    </row>
    <row r="571" spans="3:10" x14ac:dyDescent="0.3">
      <c r="E571" s="23"/>
      <c r="F571" s="23"/>
      <c r="G571" s="26"/>
      <c r="H571" s="23"/>
      <c r="I571" s="23"/>
      <c r="J571" s="23"/>
    </row>
    <row r="572" spans="3:10" x14ac:dyDescent="0.3">
      <c r="E572" s="23"/>
      <c r="F572" s="23"/>
      <c r="G572" s="26"/>
      <c r="H572" s="23"/>
      <c r="I572" s="23"/>
      <c r="J572" s="23"/>
    </row>
    <row r="573" spans="3:10" x14ac:dyDescent="0.3">
      <c r="E573" s="23"/>
      <c r="F573" s="23"/>
      <c r="G573" s="26"/>
      <c r="H573" s="23"/>
      <c r="I573" s="23"/>
      <c r="J573" s="23"/>
    </row>
    <row r="574" spans="3:10" x14ac:dyDescent="0.3">
      <c r="E574" s="23"/>
      <c r="F574" s="23"/>
      <c r="G574" s="26"/>
      <c r="H574" s="23"/>
      <c r="I574" s="23"/>
      <c r="J574" s="23"/>
    </row>
    <row r="575" spans="3:10" x14ac:dyDescent="0.3">
      <c r="E575" s="23"/>
      <c r="F575" s="23"/>
      <c r="G575" s="26"/>
      <c r="H575" s="23"/>
      <c r="I575" s="23"/>
      <c r="J575" s="23"/>
    </row>
    <row r="576" spans="3:10" x14ac:dyDescent="0.3">
      <c r="E576" s="23"/>
      <c r="F576" s="23"/>
      <c r="G576" s="26"/>
      <c r="H576" s="23"/>
      <c r="I576" s="23"/>
      <c r="J576" s="23"/>
    </row>
    <row r="577" spans="5:10" x14ac:dyDescent="0.3">
      <c r="E577" s="23"/>
      <c r="F577" s="23"/>
      <c r="G577" s="26"/>
      <c r="H577" s="23"/>
      <c r="I577" s="23"/>
      <c r="J577" s="23"/>
    </row>
    <row r="578" spans="5:10" x14ac:dyDescent="0.3">
      <c r="E578" s="23"/>
      <c r="F578" s="23"/>
      <c r="G578" s="26"/>
      <c r="H578" s="23"/>
      <c r="I578" s="23"/>
      <c r="J578" s="23"/>
    </row>
    <row r="579" spans="5:10" x14ac:dyDescent="0.3">
      <c r="E579" s="23"/>
      <c r="F579" s="23"/>
      <c r="G579" s="26"/>
      <c r="H579" s="23"/>
      <c r="I579" s="23"/>
      <c r="J579" s="23"/>
    </row>
    <row r="580" spans="5:10" x14ac:dyDescent="0.3">
      <c r="E580" s="23"/>
      <c r="F580" s="23"/>
      <c r="G580" s="26"/>
      <c r="H580" s="23"/>
      <c r="I580" s="23"/>
      <c r="J580" s="23"/>
    </row>
    <row r="581" spans="5:10" x14ac:dyDescent="0.3">
      <c r="E581" s="23"/>
      <c r="F581" s="23"/>
      <c r="G581" s="26"/>
      <c r="H581" s="23"/>
      <c r="I581" s="23"/>
      <c r="J581" s="23"/>
    </row>
    <row r="582" spans="5:10" x14ac:dyDescent="0.3">
      <c r="E582" s="23"/>
      <c r="F582" s="23"/>
      <c r="G582" s="26"/>
      <c r="H582" s="23"/>
      <c r="I582" s="23"/>
      <c r="J582" s="23"/>
    </row>
    <row r="583" spans="5:10" x14ac:dyDescent="0.3">
      <c r="E583" s="23"/>
      <c r="F583" s="23"/>
      <c r="G583" s="26"/>
      <c r="H583" s="23"/>
      <c r="I583" s="23"/>
      <c r="J583" s="23"/>
    </row>
    <row r="584" spans="5:10" x14ac:dyDescent="0.3">
      <c r="E584" s="23"/>
      <c r="F584" s="23"/>
      <c r="G584" s="26"/>
      <c r="H584" s="23"/>
      <c r="I584" s="23"/>
      <c r="J584" s="23"/>
    </row>
    <row r="585" spans="5:10" x14ac:dyDescent="0.3">
      <c r="E585" s="23"/>
      <c r="F585" s="23"/>
      <c r="G585" s="26"/>
      <c r="H585" s="23"/>
      <c r="I585" s="23"/>
      <c r="J585" s="23"/>
    </row>
    <row r="586" spans="5:10" x14ac:dyDescent="0.3">
      <c r="E586" s="23"/>
      <c r="F586" s="23"/>
      <c r="G586" s="26"/>
      <c r="H586" s="23"/>
      <c r="I586" s="23"/>
      <c r="J586" s="23"/>
    </row>
    <row r="587" spans="5:10" x14ac:dyDescent="0.3">
      <c r="E587" s="23"/>
      <c r="F587" s="23"/>
      <c r="G587" s="26"/>
      <c r="H587" s="23"/>
      <c r="I587" s="23"/>
      <c r="J587" s="23"/>
    </row>
    <row r="588" spans="5:10" x14ac:dyDescent="0.3">
      <c r="E588" s="23"/>
      <c r="F588" s="23"/>
      <c r="G588" s="26"/>
      <c r="H588" s="23"/>
      <c r="I588" s="23"/>
      <c r="J588" s="23"/>
    </row>
    <row r="589" spans="5:10" x14ac:dyDescent="0.3">
      <c r="E589" s="23"/>
      <c r="F589" s="23"/>
      <c r="G589" s="26"/>
      <c r="H589" s="23"/>
      <c r="I589" s="23"/>
      <c r="J589" s="23"/>
    </row>
    <row r="590" spans="5:10" x14ac:dyDescent="0.3">
      <c r="E590" s="23"/>
      <c r="F590" s="23"/>
      <c r="G590" s="26"/>
      <c r="H590" s="23"/>
      <c r="I590" s="23"/>
      <c r="J590" s="23"/>
    </row>
    <row r="591" spans="5:10" x14ac:dyDescent="0.3">
      <c r="E591" s="23"/>
      <c r="F591" s="23"/>
      <c r="G591" s="26"/>
      <c r="H591" s="23"/>
      <c r="I591" s="23"/>
      <c r="J591" s="23"/>
    </row>
    <row r="592" spans="5:10" x14ac:dyDescent="0.3">
      <c r="E592" s="23"/>
      <c r="F592" s="23"/>
      <c r="G592" s="26"/>
      <c r="H592" s="23"/>
      <c r="I592" s="23"/>
      <c r="J592" s="23"/>
    </row>
    <row r="593" spans="5:10" x14ac:dyDescent="0.3">
      <c r="E593" s="23"/>
      <c r="F593" s="23"/>
      <c r="G593" s="26"/>
      <c r="H593" s="23"/>
      <c r="I593" s="23"/>
      <c r="J593" s="23"/>
    </row>
    <row r="594" spans="5:10" x14ac:dyDescent="0.3">
      <c r="E594" s="23"/>
      <c r="F594" s="23"/>
      <c r="G594" s="26"/>
      <c r="H594" s="23"/>
      <c r="I594" s="23"/>
      <c r="J594" s="23"/>
    </row>
    <row r="595" spans="5:10" x14ac:dyDescent="0.3">
      <c r="E595" s="23"/>
      <c r="F595" s="23"/>
      <c r="G595" s="26"/>
      <c r="H595" s="23"/>
      <c r="I595" s="23"/>
      <c r="J595" s="23"/>
    </row>
    <row r="596" spans="5:10" x14ac:dyDescent="0.3">
      <c r="E596" s="23"/>
      <c r="F596" s="23"/>
      <c r="G596" s="26"/>
      <c r="H596" s="23"/>
      <c r="I596" s="23"/>
      <c r="J596" s="23"/>
    </row>
    <row r="597" spans="5:10" x14ac:dyDescent="0.3">
      <c r="E597" s="23"/>
      <c r="F597" s="23"/>
      <c r="G597" s="26"/>
      <c r="H597" s="23"/>
      <c r="I597" s="23"/>
      <c r="J597" s="23"/>
    </row>
    <row r="598" spans="5:10" x14ac:dyDescent="0.3">
      <c r="E598" s="23"/>
      <c r="F598" s="23"/>
      <c r="G598" s="26"/>
      <c r="H598" s="23"/>
      <c r="I598" s="23"/>
      <c r="J598" s="23"/>
    </row>
    <row r="599" spans="5:10" x14ac:dyDescent="0.3">
      <c r="E599" s="23"/>
      <c r="F599" s="23"/>
      <c r="G599" s="26"/>
      <c r="H599" s="23"/>
      <c r="I599" s="23"/>
      <c r="J599" s="23"/>
    </row>
    <row r="600" spans="5:10" x14ac:dyDescent="0.3">
      <c r="E600" s="23"/>
      <c r="F600" s="23"/>
      <c r="G600" s="26"/>
      <c r="H600" s="23"/>
      <c r="I600" s="23"/>
      <c r="J600" s="23"/>
    </row>
    <row r="601" spans="5:10" x14ac:dyDescent="0.3">
      <c r="E601" s="23"/>
      <c r="F601" s="23"/>
      <c r="G601" s="26"/>
      <c r="H601" s="23"/>
      <c r="I601" s="23"/>
      <c r="J601" s="23"/>
    </row>
    <row r="602" spans="5:10" x14ac:dyDescent="0.3">
      <c r="E602" s="23"/>
      <c r="F602" s="23"/>
      <c r="G602" s="26"/>
      <c r="H602" s="23"/>
      <c r="I602" s="23"/>
      <c r="J602" s="23"/>
    </row>
    <row r="603" spans="5:10" x14ac:dyDescent="0.3">
      <c r="E603" s="23"/>
      <c r="F603" s="23"/>
      <c r="G603" s="26"/>
      <c r="H603" s="23"/>
      <c r="I603" s="23"/>
      <c r="J603" s="23"/>
    </row>
    <row r="604" spans="5:10" x14ac:dyDescent="0.3">
      <c r="E604" s="23"/>
      <c r="F604" s="23"/>
      <c r="G604" s="26"/>
      <c r="H604" s="23"/>
      <c r="I604" s="23"/>
      <c r="J604" s="23"/>
    </row>
    <row r="605" spans="5:10" x14ac:dyDescent="0.3">
      <c r="E605" s="23"/>
      <c r="F605" s="23"/>
      <c r="G605" s="26"/>
      <c r="H605" s="23"/>
      <c r="I605" s="23"/>
      <c r="J605" s="23"/>
    </row>
    <row r="606" spans="5:10" x14ac:dyDescent="0.3">
      <c r="E606" s="23"/>
      <c r="F606" s="23"/>
      <c r="G606" s="26"/>
      <c r="H606" s="23"/>
      <c r="I606" s="23"/>
      <c r="J606" s="23"/>
    </row>
    <row r="607" spans="5:10" x14ac:dyDescent="0.3">
      <c r="E607" s="23"/>
      <c r="F607" s="23"/>
      <c r="G607" s="26"/>
      <c r="H607" s="23"/>
      <c r="I607" s="23"/>
      <c r="J607" s="23"/>
    </row>
    <row r="608" spans="5:10" x14ac:dyDescent="0.3">
      <c r="E608" s="23"/>
      <c r="F608" s="23"/>
      <c r="G608" s="26"/>
      <c r="H608" s="23"/>
      <c r="I608" s="23"/>
      <c r="J608" s="23"/>
    </row>
    <row r="609" spans="3:10" x14ac:dyDescent="0.3">
      <c r="E609" s="23"/>
      <c r="F609" s="23"/>
      <c r="G609" s="26"/>
      <c r="H609" s="23"/>
      <c r="I609" s="23"/>
      <c r="J609" s="23"/>
    </row>
    <row r="610" spans="3:10" x14ac:dyDescent="0.3">
      <c r="E610" s="23"/>
      <c r="F610" s="23"/>
      <c r="G610" s="26"/>
      <c r="H610" s="23"/>
      <c r="I610" s="23"/>
      <c r="J610" s="23"/>
    </row>
    <row r="611" spans="3:10" x14ac:dyDescent="0.3">
      <c r="E611" s="23"/>
      <c r="F611" s="23"/>
      <c r="G611" s="26"/>
      <c r="H611" s="23"/>
      <c r="I611" s="23"/>
      <c r="J611" s="23"/>
    </row>
    <row r="612" spans="3:10" x14ac:dyDescent="0.3">
      <c r="E612" s="23"/>
      <c r="F612" s="23"/>
      <c r="G612" s="26"/>
      <c r="H612" s="23"/>
      <c r="I612" s="23"/>
      <c r="J612" s="23"/>
    </row>
    <row r="613" spans="3:10" x14ac:dyDescent="0.3">
      <c r="E613" s="23"/>
      <c r="F613" s="23"/>
      <c r="G613" s="26"/>
      <c r="H613" s="23"/>
      <c r="I613" s="23"/>
      <c r="J613" s="23"/>
    </row>
    <row r="614" spans="3:10" x14ac:dyDescent="0.3">
      <c r="E614" s="23"/>
      <c r="F614" s="23"/>
      <c r="G614" s="26"/>
      <c r="H614" s="23"/>
      <c r="I614" s="23"/>
      <c r="J614" s="23"/>
    </row>
    <row r="615" spans="3:10" x14ac:dyDescent="0.3">
      <c r="E615" s="23"/>
      <c r="F615" s="23"/>
      <c r="G615" s="26"/>
      <c r="H615" s="23"/>
      <c r="I615" s="23"/>
      <c r="J615" s="23"/>
    </row>
    <row r="616" spans="3:10" x14ac:dyDescent="0.3">
      <c r="E616" s="23"/>
      <c r="F616" s="23"/>
      <c r="G616" s="26"/>
      <c r="H616" s="23"/>
      <c r="I616" s="23"/>
      <c r="J616" s="23"/>
    </row>
    <row r="617" spans="3:10" x14ac:dyDescent="0.3">
      <c r="E617" s="23"/>
      <c r="F617" s="23"/>
      <c r="G617" s="26"/>
      <c r="H617" s="23"/>
      <c r="I617" s="23"/>
      <c r="J617" s="23"/>
    </row>
    <row r="618" spans="3:10" x14ac:dyDescent="0.3">
      <c r="E618" s="23"/>
      <c r="F618" s="23"/>
      <c r="G618" s="26"/>
      <c r="H618" s="23"/>
      <c r="I618" s="23"/>
      <c r="J618" s="23"/>
    </row>
    <row r="619" spans="3:10" x14ac:dyDescent="0.3">
      <c r="C619" s="29"/>
      <c r="D619" s="29"/>
      <c r="E619" s="23"/>
      <c r="F619" s="23"/>
      <c r="G619" s="26"/>
      <c r="H619" s="23"/>
      <c r="I619" s="23"/>
      <c r="J619" s="23"/>
    </row>
    <row r="620" spans="3:10" x14ac:dyDescent="0.3">
      <c r="E620" s="23"/>
      <c r="F620" s="23"/>
      <c r="G620" s="26"/>
      <c r="H620" s="23"/>
      <c r="I620" s="23"/>
      <c r="J620" s="23"/>
    </row>
    <row r="621" spans="3:10" x14ac:dyDescent="0.3">
      <c r="E621" s="23"/>
      <c r="F621" s="23"/>
      <c r="G621" s="26"/>
      <c r="H621" s="23"/>
      <c r="I621" s="23"/>
      <c r="J621" s="23"/>
    </row>
    <row r="622" spans="3:10" x14ac:dyDescent="0.3">
      <c r="E622" s="23"/>
      <c r="F622" s="23"/>
      <c r="G622" s="26"/>
      <c r="H622" s="23"/>
      <c r="I622" s="23"/>
      <c r="J622" s="23"/>
    </row>
    <row r="623" spans="3:10" x14ac:dyDescent="0.3">
      <c r="E623" s="23"/>
      <c r="F623" s="23"/>
      <c r="G623" s="26"/>
      <c r="H623" s="23"/>
      <c r="I623" s="23"/>
      <c r="J623" s="23"/>
    </row>
    <row r="624" spans="3:10" x14ac:dyDescent="0.3">
      <c r="E624" s="23"/>
      <c r="F624" s="23"/>
      <c r="G624" s="26"/>
      <c r="H624" s="23"/>
      <c r="I624" s="23"/>
      <c r="J624" s="23"/>
    </row>
    <row r="625" spans="5:10" x14ac:dyDescent="0.3">
      <c r="E625" s="23"/>
      <c r="F625" s="23"/>
      <c r="G625" s="26"/>
      <c r="H625" s="23"/>
      <c r="I625" s="23"/>
      <c r="J625" s="23"/>
    </row>
    <row r="626" spans="5:10" x14ac:dyDescent="0.3">
      <c r="E626" s="23"/>
      <c r="F626" s="23"/>
      <c r="G626" s="26"/>
      <c r="H626" s="23"/>
      <c r="I626" s="23"/>
      <c r="J626" s="23"/>
    </row>
    <row r="627" spans="5:10" x14ac:dyDescent="0.3">
      <c r="E627" s="23"/>
      <c r="F627" s="23"/>
      <c r="G627" s="26"/>
      <c r="H627" s="23"/>
      <c r="I627" s="23"/>
      <c r="J627" s="23"/>
    </row>
    <row r="628" spans="5:10" x14ac:dyDescent="0.3">
      <c r="E628" s="23"/>
      <c r="F628" s="23"/>
      <c r="G628" s="26"/>
      <c r="H628" s="23"/>
      <c r="I628" s="23"/>
      <c r="J628" s="23"/>
    </row>
    <row r="629" spans="5:10" x14ac:dyDescent="0.3">
      <c r="E629" s="23"/>
      <c r="F629" s="23"/>
      <c r="G629" s="26"/>
      <c r="H629" s="23"/>
      <c r="I629" s="23"/>
      <c r="J629" s="23"/>
    </row>
    <row r="630" spans="5:10" x14ac:dyDescent="0.3">
      <c r="E630" s="23"/>
      <c r="F630" s="23"/>
      <c r="G630" s="26"/>
      <c r="H630" s="23"/>
      <c r="I630" s="23"/>
      <c r="J630" s="23"/>
    </row>
    <row r="631" spans="5:10" x14ac:dyDescent="0.3">
      <c r="E631" s="23"/>
      <c r="F631" s="23"/>
      <c r="G631" s="26"/>
      <c r="H631" s="23"/>
      <c r="I631" s="23"/>
      <c r="J631" s="23"/>
    </row>
    <row r="632" spans="5:10" x14ac:dyDescent="0.3">
      <c r="E632" s="23"/>
      <c r="F632" s="23"/>
      <c r="G632" s="26"/>
      <c r="H632" s="23"/>
      <c r="I632" s="23"/>
      <c r="J632" s="23"/>
    </row>
    <row r="633" spans="5:10" x14ac:dyDescent="0.3">
      <c r="E633" s="23"/>
      <c r="F633" s="23"/>
      <c r="G633" s="26"/>
      <c r="H633" s="23"/>
      <c r="I633" s="23"/>
      <c r="J633" s="23"/>
    </row>
    <row r="634" spans="5:10" x14ac:dyDescent="0.3">
      <c r="E634" s="23"/>
      <c r="F634" s="23"/>
      <c r="G634" s="26"/>
      <c r="H634" s="23"/>
      <c r="I634" s="23"/>
      <c r="J634" s="23"/>
    </row>
    <row r="635" spans="5:10" x14ac:dyDescent="0.3">
      <c r="E635" s="23"/>
      <c r="F635" s="23"/>
      <c r="G635" s="26"/>
      <c r="H635" s="23"/>
      <c r="I635" s="23"/>
      <c r="J635" s="23"/>
    </row>
    <row r="636" spans="5:10" x14ac:dyDescent="0.3">
      <c r="E636" s="23"/>
      <c r="F636" s="23"/>
      <c r="G636" s="26"/>
      <c r="H636" s="23"/>
      <c r="I636" s="23"/>
      <c r="J636" s="23"/>
    </row>
    <row r="637" spans="5:10" x14ac:dyDescent="0.3">
      <c r="E637" s="23"/>
      <c r="F637" s="23"/>
      <c r="G637" s="26"/>
      <c r="H637" s="23"/>
      <c r="I637" s="23"/>
      <c r="J637" s="23"/>
    </row>
    <row r="638" spans="5:10" x14ac:dyDescent="0.3">
      <c r="E638" s="23"/>
      <c r="F638" s="23"/>
      <c r="G638" s="26"/>
      <c r="H638" s="23"/>
      <c r="I638" s="23"/>
      <c r="J638" s="23"/>
    </row>
    <row r="639" spans="5:10" x14ac:dyDescent="0.3">
      <c r="E639" s="23"/>
      <c r="F639" s="23"/>
      <c r="G639" s="26"/>
      <c r="H639" s="23"/>
      <c r="I639" s="23"/>
      <c r="J639" s="23"/>
    </row>
    <row r="640" spans="5:10" x14ac:dyDescent="0.3">
      <c r="E640" s="23"/>
      <c r="F640" s="23"/>
      <c r="G640" s="26"/>
      <c r="H640" s="23"/>
      <c r="I640" s="23"/>
      <c r="J640" s="23"/>
    </row>
    <row r="641" spans="3:10" x14ac:dyDescent="0.3">
      <c r="E641" s="23"/>
      <c r="F641" s="23"/>
      <c r="G641" s="26"/>
      <c r="H641" s="23"/>
      <c r="I641" s="23"/>
      <c r="J641" s="23"/>
    </row>
    <row r="642" spans="3:10" x14ac:dyDescent="0.3">
      <c r="E642" s="23"/>
      <c r="F642" s="23"/>
      <c r="G642" s="26"/>
      <c r="H642" s="23"/>
      <c r="I642" s="23"/>
      <c r="J642" s="23"/>
    </row>
    <row r="643" spans="3:10" x14ac:dyDescent="0.3">
      <c r="E643" s="23"/>
      <c r="F643" s="23"/>
      <c r="G643" s="26"/>
      <c r="H643" s="23"/>
      <c r="I643" s="23"/>
      <c r="J643" s="23"/>
    </row>
    <row r="644" spans="3:10" x14ac:dyDescent="0.3">
      <c r="E644" s="23"/>
      <c r="F644" s="23"/>
      <c r="G644" s="26"/>
      <c r="H644" s="23"/>
      <c r="I644" s="23"/>
      <c r="J644" s="23"/>
    </row>
    <row r="645" spans="3:10" x14ac:dyDescent="0.3">
      <c r="C645" s="29"/>
      <c r="D645" s="29"/>
      <c r="E645" s="23"/>
      <c r="F645" s="23"/>
      <c r="G645" s="26"/>
      <c r="H645" s="23"/>
      <c r="I645" s="23"/>
      <c r="J645" s="23"/>
    </row>
    <row r="646" spans="3:10" x14ac:dyDescent="0.3">
      <c r="E646" s="23"/>
      <c r="F646" s="23"/>
      <c r="G646" s="26"/>
      <c r="H646" s="23"/>
      <c r="I646" s="23"/>
      <c r="J646" s="23"/>
    </row>
    <row r="647" spans="3:10" x14ac:dyDescent="0.3">
      <c r="E647" s="23"/>
      <c r="F647" s="23"/>
      <c r="G647" s="26"/>
      <c r="H647" s="23"/>
      <c r="I647" s="23"/>
      <c r="J647" s="23"/>
    </row>
    <row r="648" spans="3:10" x14ac:dyDescent="0.3">
      <c r="E648" s="23"/>
      <c r="F648" s="23"/>
      <c r="G648" s="26"/>
      <c r="H648" s="23"/>
      <c r="I648" s="23"/>
      <c r="J648" s="23"/>
    </row>
    <row r="649" spans="3:10" x14ac:dyDescent="0.3">
      <c r="E649" s="23"/>
      <c r="F649" s="23"/>
      <c r="G649" s="26"/>
      <c r="H649" s="23"/>
      <c r="I649" s="23"/>
      <c r="J649" s="23"/>
    </row>
    <row r="650" spans="3:10" x14ac:dyDescent="0.3">
      <c r="C650" s="29"/>
      <c r="D650" s="29"/>
      <c r="E650" s="23"/>
      <c r="F650" s="23"/>
      <c r="G650" s="26"/>
      <c r="H650" s="23"/>
      <c r="I650" s="23"/>
      <c r="J650" s="23"/>
    </row>
    <row r="651" spans="3:10" x14ac:dyDescent="0.3">
      <c r="E651" s="23"/>
      <c r="F651" s="23"/>
      <c r="G651" s="26"/>
      <c r="H651" s="23"/>
      <c r="I651" s="23"/>
      <c r="J651" s="23"/>
    </row>
    <row r="652" spans="3:10" x14ac:dyDescent="0.3">
      <c r="E652" s="23"/>
      <c r="F652" s="23"/>
      <c r="G652" s="26"/>
      <c r="H652" s="23"/>
      <c r="I652" s="23"/>
      <c r="J652" s="23"/>
    </row>
    <row r="653" spans="3:10" x14ac:dyDescent="0.3">
      <c r="E653" s="23"/>
      <c r="F653" s="23"/>
      <c r="G653" s="26"/>
      <c r="H653" s="23"/>
      <c r="I653" s="23"/>
      <c r="J653" s="23"/>
    </row>
    <row r="654" spans="3:10" x14ac:dyDescent="0.3">
      <c r="E654" s="23"/>
      <c r="F654" s="23"/>
      <c r="G654" s="26"/>
      <c r="H654" s="23"/>
      <c r="I654" s="23"/>
      <c r="J654" s="23"/>
    </row>
    <row r="655" spans="3:10" x14ac:dyDescent="0.3">
      <c r="E655" s="23"/>
      <c r="F655" s="23"/>
      <c r="G655" s="26"/>
      <c r="H655" s="23"/>
      <c r="I655" s="23"/>
      <c r="J655" s="23"/>
    </row>
    <row r="656" spans="3:10" x14ac:dyDescent="0.3">
      <c r="E656" s="23"/>
      <c r="F656" s="23"/>
      <c r="G656" s="26"/>
      <c r="H656" s="23"/>
      <c r="I656" s="23"/>
      <c r="J656" s="23"/>
    </row>
    <row r="657" spans="5:10" x14ac:dyDescent="0.3">
      <c r="E657" s="23"/>
      <c r="F657" s="23"/>
      <c r="G657" s="26"/>
      <c r="H657" s="23"/>
      <c r="I657" s="23"/>
      <c r="J657" s="23"/>
    </row>
    <row r="658" spans="5:10" x14ac:dyDescent="0.3">
      <c r="E658" s="23"/>
      <c r="F658" s="23"/>
      <c r="G658" s="26"/>
      <c r="H658" s="23"/>
      <c r="I658" s="23"/>
      <c r="J658" s="23"/>
    </row>
    <row r="659" spans="5:10" x14ac:dyDescent="0.3">
      <c r="E659" s="23"/>
      <c r="F659" s="23"/>
      <c r="G659" s="26"/>
      <c r="H659" s="23"/>
      <c r="I659" s="23"/>
      <c r="J659" s="23"/>
    </row>
    <row r="660" spans="5:10" x14ac:dyDescent="0.3">
      <c r="E660" s="23"/>
      <c r="F660" s="23"/>
      <c r="G660" s="26"/>
      <c r="H660" s="23"/>
      <c r="I660" s="23"/>
      <c r="J660" s="23"/>
    </row>
    <row r="661" spans="5:10" x14ac:dyDescent="0.3">
      <c r="E661" s="23"/>
      <c r="F661" s="23"/>
      <c r="G661" s="26"/>
      <c r="H661" s="23"/>
      <c r="I661" s="23"/>
      <c r="J661" s="23"/>
    </row>
    <row r="662" spans="5:10" x14ac:dyDescent="0.3">
      <c r="E662" s="23"/>
      <c r="F662" s="23"/>
      <c r="G662" s="26"/>
      <c r="H662" s="23"/>
      <c r="I662" s="23"/>
      <c r="J662" s="23"/>
    </row>
    <row r="663" spans="5:10" x14ac:dyDescent="0.3">
      <c r="E663" s="23"/>
      <c r="F663" s="23"/>
      <c r="G663" s="26"/>
      <c r="H663" s="23"/>
      <c r="I663" s="23"/>
      <c r="J663" s="23"/>
    </row>
    <row r="664" spans="5:10" x14ac:dyDescent="0.3">
      <c r="E664" s="23"/>
      <c r="F664" s="23"/>
      <c r="G664" s="26"/>
      <c r="H664" s="23"/>
      <c r="I664" s="23"/>
      <c r="J664" s="23"/>
    </row>
    <row r="665" spans="5:10" x14ac:dyDescent="0.3">
      <c r="E665" s="23"/>
      <c r="F665" s="23"/>
      <c r="G665" s="26"/>
      <c r="H665" s="23"/>
      <c r="I665" s="23"/>
      <c r="J665" s="23"/>
    </row>
    <row r="666" spans="5:10" x14ac:dyDescent="0.3">
      <c r="E666" s="23"/>
      <c r="F666" s="23"/>
      <c r="G666" s="26"/>
      <c r="H666" s="23"/>
      <c r="I666" s="23"/>
      <c r="J666" s="23"/>
    </row>
    <row r="667" spans="5:10" x14ac:dyDescent="0.3">
      <c r="E667" s="23"/>
      <c r="F667" s="23"/>
      <c r="G667" s="26"/>
      <c r="H667" s="23"/>
      <c r="I667" s="23"/>
      <c r="J667" s="23"/>
    </row>
    <row r="668" spans="5:10" x14ac:dyDescent="0.3">
      <c r="E668" s="23"/>
      <c r="F668" s="23"/>
      <c r="G668" s="26"/>
      <c r="H668" s="23"/>
      <c r="I668" s="23"/>
      <c r="J668" s="23"/>
    </row>
    <row r="669" spans="5:10" x14ac:dyDescent="0.3">
      <c r="E669" s="23"/>
      <c r="F669" s="23"/>
      <c r="G669" s="26"/>
      <c r="H669" s="23"/>
      <c r="I669" s="23"/>
      <c r="J669" s="23"/>
    </row>
    <row r="670" spans="5:10" x14ac:dyDescent="0.3">
      <c r="E670" s="23"/>
      <c r="F670" s="23"/>
      <c r="G670" s="26"/>
      <c r="H670" s="23"/>
      <c r="I670" s="23"/>
      <c r="J670" s="23"/>
    </row>
    <row r="671" spans="5:10" x14ac:dyDescent="0.3">
      <c r="E671" s="23"/>
      <c r="F671" s="23"/>
      <c r="G671" s="26"/>
      <c r="H671" s="23"/>
      <c r="I671" s="23"/>
      <c r="J671" s="23"/>
    </row>
    <row r="672" spans="5:10" x14ac:dyDescent="0.3">
      <c r="E672" s="23"/>
      <c r="F672" s="23"/>
      <c r="G672" s="26"/>
      <c r="H672" s="23"/>
      <c r="I672" s="23"/>
      <c r="J672" s="23"/>
    </row>
    <row r="673" spans="5:10" x14ac:dyDescent="0.3">
      <c r="E673" s="23"/>
      <c r="F673" s="23"/>
      <c r="G673" s="26"/>
      <c r="H673" s="23"/>
      <c r="I673" s="23"/>
      <c r="J673" s="23"/>
    </row>
    <row r="674" spans="5:10" x14ac:dyDescent="0.3">
      <c r="E674" s="23"/>
      <c r="F674" s="23"/>
      <c r="G674" s="26"/>
      <c r="H674" s="23"/>
      <c r="I674" s="23"/>
      <c r="J674" s="23"/>
    </row>
    <row r="675" spans="5:10" x14ac:dyDescent="0.3">
      <c r="E675" s="23"/>
      <c r="F675" s="23"/>
      <c r="G675" s="26"/>
      <c r="H675" s="23"/>
      <c r="I675" s="23"/>
      <c r="J675" s="23"/>
    </row>
    <row r="676" spans="5:10" x14ac:dyDescent="0.3">
      <c r="E676" s="23"/>
      <c r="F676" s="23"/>
      <c r="G676" s="26"/>
      <c r="H676" s="23"/>
      <c r="I676" s="23"/>
      <c r="J676" s="23"/>
    </row>
    <row r="677" spans="5:10" x14ac:dyDescent="0.3">
      <c r="E677" s="23"/>
      <c r="F677" s="23"/>
      <c r="G677" s="26"/>
      <c r="H677" s="23"/>
      <c r="I677" s="23"/>
      <c r="J677" s="23"/>
    </row>
    <row r="678" spans="5:10" x14ac:dyDescent="0.3">
      <c r="E678" s="23"/>
      <c r="F678" s="23"/>
      <c r="G678" s="26"/>
      <c r="H678" s="23"/>
      <c r="I678" s="23"/>
      <c r="J678" s="23"/>
    </row>
    <row r="679" spans="5:10" x14ac:dyDescent="0.3">
      <c r="E679" s="23"/>
      <c r="F679" s="23"/>
      <c r="G679" s="26"/>
      <c r="H679" s="23"/>
      <c r="I679" s="23"/>
      <c r="J679" s="23"/>
    </row>
    <row r="680" spans="5:10" x14ac:dyDescent="0.3">
      <c r="E680" s="23"/>
      <c r="F680" s="23"/>
      <c r="G680" s="26"/>
      <c r="H680" s="23"/>
      <c r="I680" s="23"/>
      <c r="J680" s="23"/>
    </row>
    <row r="681" spans="5:10" x14ac:dyDescent="0.3">
      <c r="E681" s="23"/>
      <c r="F681" s="23"/>
      <c r="G681" s="26"/>
      <c r="H681" s="23"/>
      <c r="I681" s="23"/>
      <c r="J681" s="23"/>
    </row>
    <row r="682" spans="5:10" x14ac:dyDescent="0.3">
      <c r="E682" s="23"/>
      <c r="F682" s="23"/>
      <c r="G682" s="26"/>
      <c r="H682" s="23"/>
      <c r="I682" s="23"/>
      <c r="J682" s="23"/>
    </row>
    <row r="683" spans="5:10" x14ac:dyDescent="0.3">
      <c r="E683" s="23"/>
      <c r="F683" s="23"/>
      <c r="G683" s="26"/>
      <c r="H683" s="23"/>
      <c r="I683" s="23"/>
      <c r="J683" s="23"/>
    </row>
    <row r="684" spans="5:10" x14ac:dyDescent="0.3">
      <c r="E684" s="23"/>
      <c r="F684" s="23"/>
      <c r="G684" s="26"/>
      <c r="H684" s="23"/>
      <c r="I684" s="23"/>
      <c r="J684" s="23"/>
    </row>
    <row r="685" spans="5:10" x14ac:dyDescent="0.3">
      <c r="E685" s="23"/>
      <c r="F685" s="23"/>
      <c r="G685" s="26"/>
      <c r="H685" s="23"/>
      <c r="I685" s="23"/>
      <c r="J685" s="23"/>
    </row>
    <row r="686" spans="5:10" x14ac:dyDescent="0.3">
      <c r="E686" s="23"/>
      <c r="F686" s="23"/>
      <c r="G686" s="26"/>
      <c r="H686" s="23"/>
      <c r="I686" s="23"/>
      <c r="J686" s="23"/>
    </row>
    <row r="687" spans="5:10" x14ac:dyDescent="0.3">
      <c r="E687" s="23"/>
      <c r="F687" s="23"/>
      <c r="G687" s="26"/>
      <c r="H687" s="23"/>
      <c r="I687" s="23"/>
      <c r="J687" s="23"/>
    </row>
    <row r="688" spans="5:10" x14ac:dyDescent="0.3">
      <c r="E688" s="23"/>
      <c r="F688" s="23"/>
      <c r="G688" s="26"/>
      <c r="H688" s="23"/>
      <c r="I688" s="23"/>
      <c r="J688" s="23"/>
    </row>
    <row r="689" spans="5:10" x14ac:dyDescent="0.3">
      <c r="E689" s="23"/>
      <c r="F689" s="23"/>
      <c r="G689" s="26"/>
      <c r="H689" s="23"/>
      <c r="I689" s="23"/>
      <c r="J689" s="23"/>
    </row>
    <row r="690" spans="5:10" x14ac:dyDescent="0.3">
      <c r="E690" s="23"/>
      <c r="F690" s="23"/>
      <c r="G690" s="26"/>
      <c r="H690" s="23"/>
      <c r="I690" s="23"/>
      <c r="J690" s="23"/>
    </row>
    <row r="691" spans="5:10" x14ac:dyDescent="0.3">
      <c r="E691" s="23"/>
      <c r="F691" s="23"/>
      <c r="G691" s="26"/>
      <c r="H691" s="23"/>
      <c r="I691" s="23"/>
      <c r="J691" s="23"/>
    </row>
    <row r="692" spans="5:10" x14ac:dyDescent="0.3">
      <c r="E692" s="23"/>
      <c r="F692" s="23"/>
      <c r="G692" s="26"/>
      <c r="H692" s="23"/>
      <c r="I692" s="23"/>
      <c r="J692" s="23"/>
    </row>
    <row r="693" spans="5:10" x14ac:dyDescent="0.3">
      <c r="E693" s="23"/>
      <c r="F693" s="23"/>
      <c r="G693" s="26"/>
      <c r="H693" s="23"/>
      <c r="I693" s="23"/>
      <c r="J693" s="23"/>
    </row>
    <row r="694" spans="5:10" x14ac:dyDescent="0.3">
      <c r="E694" s="23"/>
      <c r="F694" s="23"/>
      <c r="G694" s="26"/>
      <c r="H694" s="23"/>
      <c r="I694" s="23"/>
      <c r="J694" s="23"/>
    </row>
    <row r="695" spans="5:10" x14ac:dyDescent="0.3">
      <c r="E695" s="23"/>
      <c r="F695" s="23"/>
      <c r="G695" s="26"/>
      <c r="H695" s="23"/>
      <c r="I695" s="23"/>
      <c r="J695" s="23"/>
    </row>
    <row r="696" spans="5:10" x14ac:dyDescent="0.3">
      <c r="E696" s="23"/>
      <c r="F696" s="23"/>
      <c r="G696" s="26"/>
      <c r="H696" s="23"/>
      <c r="I696" s="23"/>
      <c r="J696" s="23"/>
    </row>
    <row r="697" spans="5:10" x14ac:dyDescent="0.3">
      <c r="E697" s="23"/>
      <c r="F697" s="23"/>
      <c r="G697" s="26"/>
      <c r="H697" s="23"/>
      <c r="I697" s="23"/>
      <c r="J697" s="23"/>
    </row>
    <row r="698" spans="5:10" x14ac:dyDescent="0.3">
      <c r="E698" s="23"/>
      <c r="F698" s="23"/>
      <c r="G698" s="26"/>
      <c r="H698" s="23"/>
      <c r="I698" s="23"/>
      <c r="J698" s="23"/>
    </row>
    <row r="699" spans="5:10" x14ac:dyDescent="0.3">
      <c r="E699" s="23"/>
      <c r="F699" s="23"/>
      <c r="G699" s="26"/>
      <c r="H699" s="23"/>
      <c r="I699" s="23"/>
      <c r="J699" s="23"/>
    </row>
    <row r="700" spans="5:10" x14ac:dyDescent="0.3">
      <c r="E700" s="23"/>
      <c r="F700" s="23"/>
      <c r="G700" s="26"/>
      <c r="H700" s="23"/>
      <c r="I700" s="23"/>
      <c r="J700" s="23"/>
    </row>
    <row r="701" spans="5:10" x14ac:dyDescent="0.3">
      <c r="E701" s="23"/>
      <c r="F701" s="23"/>
      <c r="G701" s="26"/>
      <c r="H701" s="23"/>
      <c r="I701" s="23"/>
      <c r="J701" s="23"/>
    </row>
    <row r="702" spans="5:10" x14ac:dyDescent="0.3">
      <c r="E702" s="23"/>
      <c r="F702" s="23"/>
      <c r="G702" s="26"/>
      <c r="H702" s="23"/>
      <c r="I702" s="23"/>
      <c r="J702" s="23"/>
    </row>
    <row r="703" spans="5:10" x14ac:dyDescent="0.3">
      <c r="E703" s="23"/>
      <c r="F703" s="23"/>
      <c r="G703" s="26"/>
      <c r="H703" s="23"/>
      <c r="I703" s="23"/>
      <c r="J703" s="23"/>
    </row>
    <row r="704" spans="5:10" x14ac:dyDescent="0.3">
      <c r="E704" s="23"/>
      <c r="F704" s="23"/>
      <c r="G704" s="26"/>
      <c r="H704" s="23"/>
      <c r="I704" s="23"/>
      <c r="J704" s="23"/>
    </row>
    <row r="705" spans="3:10" x14ac:dyDescent="0.3">
      <c r="E705" s="23"/>
      <c r="F705" s="23"/>
      <c r="G705" s="26"/>
      <c r="H705" s="23"/>
      <c r="I705" s="23"/>
      <c r="J705" s="23"/>
    </row>
    <row r="706" spans="3:10" x14ac:dyDescent="0.3">
      <c r="E706" s="23"/>
      <c r="F706" s="23"/>
      <c r="G706" s="26"/>
      <c r="H706" s="23"/>
      <c r="I706" s="23"/>
      <c r="J706" s="23"/>
    </row>
    <row r="707" spans="3:10" x14ac:dyDescent="0.3">
      <c r="E707" s="23"/>
      <c r="F707" s="23"/>
      <c r="G707" s="26"/>
      <c r="H707" s="23"/>
      <c r="I707" s="23"/>
      <c r="J707" s="23"/>
    </row>
    <row r="708" spans="3:10" x14ac:dyDescent="0.3">
      <c r="C708" s="29"/>
      <c r="D708" s="29"/>
      <c r="E708" s="23"/>
      <c r="F708" s="23"/>
      <c r="G708" s="26"/>
      <c r="H708" s="23"/>
      <c r="I708" s="23"/>
      <c r="J708" s="23"/>
    </row>
    <row r="709" spans="3:10" x14ac:dyDescent="0.3">
      <c r="E709" s="23"/>
      <c r="F709" s="23"/>
      <c r="G709" s="26"/>
      <c r="H709" s="23"/>
      <c r="I709" s="23"/>
      <c r="J709" s="23"/>
    </row>
    <row r="710" spans="3:10" x14ac:dyDescent="0.3">
      <c r="E710" s="23"/>
      <c r="F710" s="23"/>
      <c r="G710" s="26"/>
      <c r="H710" s="23"/>
      <c r="I710" s="23"/>
      <c r="J710" s="23"/>
    </row>
    <row r="711" spans="3:10" x14ac:dyDescent="0.3">
      <c r="E711" s="23"/>
      <c r="F711" s="23"/>
      <c r="G711" s="26"/>
      <c r="H711" s="23"/>
      <c r="I711" s="23"/>
      <c r="J711" s="23"/>
    </row>
    <row r="712" spans="3:10" x14ac:dyDescent="0.3">
      <c r="E712" s="23"/>
      <c r="F712" s="23"/>
      <c r="G712" s="26"/>
      <c r="H712" s="23"/>
      <c r="I712" s="23"/>
      <c r="J712" s="23"/>
    </row>
    <row r="713" spans="3:10" x14ac:dyDescent="0.3">
      <c r="E713" s="23"/>
      <c r="F713" s="23"/>
      <c r="G713" s="26"/>
      <c r="H713" s="23"/>
      <c r="I713" s="23"/>
      <c r="J713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1C643-6537-4F7E-9BD6-8066B6F707D3}">
  <sheetPr codeName="Feuil2">
    <tabColor theme="9" tint="-0.499984740745262"/>
  </sheetPr>
  <dimension ref="A1:H727"/>
  <sheetViews>
    <sheetView topLeftCell="A81" workbookViewId="0">
      <selection sqref="A1:H100"/>
    </sheetView>
  </sheetViews>
  <sheetFormatPr baseColWidth="10" defaultColWidth="11.44140625" defaultRowHeight="13.8" x14ac:dyDescent="0.3"/>
  <cols>
    <col min="1" max="1" width="17.44140625" style="23" customWidth="1"/>
    <col min="2" max="2" width="29" style="23" customWidth="1"/>
    <col min="3" max="3" width="19.109375" style="26" bestFit="1" customWidth="1"/>
    <col min="4" max="4" width="39.6640625" style="22" bestFit="1" customWidth="1"/>
    <col min="5" max="5" width="17.44140625" style="22" customWidth="1"/>
    <col min="6" max="6" width="17.44140625" style="30" customWidth="1"/>
    <col min="7" max="7" width="17.44140625" style="22" customWidth="1"/>
    <col min="8" max="8" width="13.5546875" style="22" customWidth="1"/>
    <col min="9" max="16384" width="11.44140625" style="22"/>
  </cols>
  <sheetData>
    <row r="1" spans="1:8" ht="16.2" x14ac:dyDescent="0.35">
      <c r="A1" s="54" t="s">
        <v>2096</v>
      </c>
      <c r="B1" s="54"/>
      <c r="C1" s="54"/>
      <c r="D1" s="54"/>
      <c r="E1" s="54"/>
      <c r="F1" s="54"/>
      <c r="G1" s="54"/>
      <c r="H1" s="54"/>
    </row>
    <row r="3" spans="1:8" x14ac:dyDescent="0.3">
      <c r="A3" s="28" t="s">
        <v>19</v>
      </c>
      <c r="B3" s="28" t="s">
        <v>14</v>
      </c>
      <c r="C3" s="28" t="s">
        <v>20</v>
      </c>
      <c r="D3" s="28" t="s">
        <v>21</v>
      </c>
      <c r="E3" s="28" t="s">
        <v>22</v>
      </c>
      <c r="F3" s="28" t="s">
        <v>23</v>
      </c>
      <c r="G3" s="28" t="s">
        <v>24</v>
      </c>
      <c r="H3" s="28" t="s">
        <v>6</v>
      </c>
    </row>
    <row r="4" spans="1:8" x14ac:dyDescent="0.3">
      <c r="A4" s="23" t="s">
        <v>25</v>
      </c>
      <c r="B4" s="23" t="s">
        <v>26</v>
      </c>
      <c r="C4" s="26" t="s">
        <v>27</v>
      </c>
      <c r="D4" s="23" t="s">
        <v>28</v>
      </c>
      <c r="E4" s="23" t="s">
        <v>29</v>
      </c>
      <c r="F4" s="26">
        <v>44000</v>
      </c>
      <c r="G4" s="23" t="s">
        <v>30</v>
      </c>
      <c r="H4" s="23">
        <v>20</v>
      </c>
    </row>
    <row r="5" spans="1:8" x14ac:dyDescent="0.3">
      <c r="A5" s="23" t="s">
        <v>31</v>
      </c>
      <c r="B5" s="23" t="s">
        <v>32</v>
      </c>
      <c r="C5" s="26">
        <v>5085552555</v>
      </c>
      <c r="D5" s="23" t="s">
        <v>33</v>
      </c>
      <c r="E5" s="23" t="s">
        <v>34</v>
      </c>
      <c r="F5" s="26">
        <v>50553</v>
      </c>
      <c r="G5" s="23" t="s">
        <v>35</v>
      </c>
      <c r="H5" s="23">
        <v>20</v>
      </c>
    </row>
    <row r="6" spans="1:8" x14ac:dyDescent="0.3">
      <c r="A6" s="23" t="s">
        <v>36</v>
      </c>
      <c r="B6" s="23" t="s">
        <v>37</v>
      </c>
      <c r="C6" s="26" t="s">
        <v>38</v>
      </c>
      <c r="D6" s="23" t="s">
        <v>39</v>
      </c>
      <c r="E6" s="23" t="s">
        <v>40</v>
      </c>
      <c r="F6" s="26" t="s">
        <v>41</v>
      </c>
      <c r="G6" s="23" t="s">
        <v>42</v>
      </c>
      <c r="H6" s="23">
        <v>10</v>
      </c>
    </row>
    <row r="7" spans="1:8" x14ac:dyDescent="0.3">
      <c r="A7" s="23" t="s">
        <v>43</v>
      </c>
      <c r="B7" s="23" t="s">
        <v>44</v>
      </c>
      <c r="C7" s="26" t="s">
        <v>45</v>
      </c>
      <c r="D7" s="23" t="s">
        <v>46</v>
      </c>
      <c r="E7" s="23" t="s">
        <v>47</v>
      </c>
      <c r="F7" s="26">
        <v>28034</v>
      </c>
      <c r="G7" s="23" t="s">
        <v>48</v>
      </c>
      <c r="H7" s="23">
        <v>20</v>
      </c>
    </row>
    <row r="8" spans="1:8" x14ac:dyDescent="0.3">
      <c r="A8" s="23" t="s">
        <v>49</v>
      </c>
      <c r="B8" s="23" t="s">
        <v>50</v>
      </c>
      <c r="C8" s="26">
        <v>6175558555</v>
      </c>
      <c r="D8" s="23" t="s">
        <v>51</v>
      </c>
      <c r="E8" s="23" t="s">
        <v>52</v>
      </c>
      <c r="F8" s="26">
        <v>58339</v>
      </c>
      <c r="G8" s="23" t="s">
        <v>35</v>
      </c>
      <c r="H8" s="23">
        <v>10</v>
      </c>
    </row>
    <row r="9" spans="1:8" x14ac:dyDescent="0.3">
      <c r="A9" s="23" t="s">
        <v>53</v>
      </c>
      <c r="B9" s="23" t="s">
        <v>54</v>
      </c>
      <c r="C9" s="29">
        <v>299368555</v>
      </c>
      <c r="D9" s="23" t="s">
        <v>55</v>
      </c>
      <c r="E9" s="23" t="s">
        <v>56</v>
      </c>
      <c r="F9" s="26">
        <v>2060</v>
      </c>
      <c r="G9" s="23" t="s">
        <v>57</v>
      </c>
      <c r="H9" s="23">
        <v>20</v>
      </c>
    </row>
    <row r="10" spans="1:8" x14ac:dyDescent="0.3">
      <c r="A10" s="23" t="s">
        <v>58</v>
      </c>
      <c r="B10" s="23" t="s">
        <v>59</v>
      </c>
      <c r="C10" s="26" t="s">
        <v>60</v>
      </c>
      <c r="D10" s="23" t="s">
        <v>61</v>
      </c>
      <c r="E10" s="23" t="s">
        <v>62</v>
      </c>
      <c r="F10" s="26" t="s">
        <v>63</v>
      </c>
      <c r="G10" s="23" t="s">
        <v>64</v>
      </c>
      <c r="H10" s="23">
        <v>10</v>
      </c>
    </row>
    <row r="11" spans="1:8" x14ac:dyDescent="0.3">
      <c r="A11" s="23" t="s">
        <v>65</v>
      </c>
      <c r="B11" s="23" t="s">
        <v>66</v>
      </c>
      <c r="C11" s="26" t="s">
        <v>67</v>
      </c>
      <c r="D11" s="23" t="s">
        <v>68</v>
      </c>
      <c r="E11" s="23" t="s">
        <v>69</v>
      </c>
      <c r="F11" s="26">
        <v>4101</v>
      </c>
      <c r="G11" s="23" t="s">
        <v>57</v>
      </c>
      <c r="H11" s="23">
        <v>20</v>
      </c>
    </row>
    <row r="12" spans="1:8" x14ac:dyDescent="0.3">
      <c r="A12" s="23" t="s">
        <v>70</v>
      </c>
      <c r="B12" s="23" t="s">
        <v>71</v>
      </c>
      <c r="C12" s="26" t="s">
        <v>72</v>
      </c>
      <c r="D12" s="23" t="s">
        <v>73</v>
      </c>
      <c r="E12" s="23" t="s">
        <v>74</v>
      </c>
      <c r="F12" s="26">
        <v>75016</v>
      </c>
      <c r="G12" s="23" t="s">
        <v>30</v>
      </c>
      <c r="H12" s="23">
        <v>10</v>
      </c>
    </row>
    <row r="13" spans="1:8" x14ac:dyDescent="0.3">
      <c r="A13" s="23" t="s">
        <v>75</v>
      </c>
      <c r="B13" s="23" t="s">
        <v>76</v>
      </c>
      <c r="C13" s="26">
        <v>6505556809</v>
      </c>
      <c r="D13" s="23" t="s">
        <v>77</v>
      </c>
      <c r="E13" s="23" t="s">
        <v>78</v>
      </c>
      <c r="F13" s="26">
        <v>94217</v>
      </c>
      <c r="G13" s="23" t="s">
        <v>35</v>
      </c>
      <c r="H13" s="23">
        <v>20</v>
      </c>
    </row>
    <row r="14" spans="1:8" x14ac:dyDescent="0.3">
      <c r="A14" s="23" t="s">
        <v>79</v>
      </c>
      <c r="B14" s="23" t="s">
        <v>80</v>
      </c>
      <c r="C14" s="26" t="s">
        <v>81</v>
      </c>
      <c r="D14" s="23" t="s">
        <v>82</v>
      </c>
      <c r="E14" s="23" t="s">
        <v>83</v>
      </c>
      <c r="F14" s="26">
        <v>90110</v>
      </c>
      <c r="G14" s="23" t="s">
        <v>84</v>
      </c>
      <c r="H14" s="23">
        <v>20</v>
      </c>
    </row>
    <row r="15" spans="1:8" x14ac:dyDescent="0.3">
      <c r="A15" s="23" t="s">
        <v>85</v>
      </c>
      <c r="B15" s="23" t="s">
        <v>86</v>
      </c>
      <c r="C15" s="26" t="s">
        <v>87</v>
      </c>
      <c r="D15" s="23" t="s">
        <v>88</v>
      </c>
      <c r="E15" s="23" t="s">
        <v>74</v>
      </c>
      <c r="F15" s="26">
        <v>75508</v>
      </c>
      <c r="G15" s="23" t="s">
        <v>30</v>
      </c>
      <c r="H15" s="23">
        <v>20</v>
      </c>
    </row>
    <row r="16" spans="1:8" x14ac:dyDescent="0.3">
      <c r="A16" s="23" t="s">
        <v>89</v>
      </c>
      <c r="B16" s="23" t="s">
        <v>90</v>
      </c>
      <c r="C16" s="26">
        <v>4085553659</v>
      </c>
      <c r="D16" s="23" t="s">
        <v>91</v>
      </c>
      <c r="E16" s="23" t="s">
        <v>92</v>
      </c>
      <c r="F16" s="26">
        <v>94217</v>
      </c>
      <c r="G16" s="23" t="s">
        <v>35</v>
      </c>
      <c r="H16" s="23">
        <v>20</v>
      </c>
    </row>
    <row r="17" spans="1:8" x14ac:dyDescent="0.3">
      <c r="A17" s="23" t="s">
        <v>93</v>
      </c>
      <c r="B17" s="23" t="s">
        <v>94</v>
      </c>
      <c r="C17" s="26">
        <v>6175559555</v>
      </c>
      <c r="D17" s="23" t="s">
        <v>95</v>
      </c>
      <c r="E17" s="23" t="s">
        <v>96</v>
      </c>
      <c r="F17" s="26">
        <v>51003</v>
      </c>
      <c r="G17" s="23" t="s">
        <v>35</v>
      </c>
      <c r="H17" s="23">
        <v>10</v>
      </c>
    </row>
    <row r="18" spans="1:8" x14ac:dyDescent="0.3">
      <c r="A18" s="23" t="s">
        <v>97</v>
      </c>
      <c r="B18" s="23" t="s">
        <v>98</v>
      </c>
      <c r="C18" s="26" t="s">
        <v>99</v>
      </c>
      <c r="D18" s="23" t="s">
        <v>100</v>
      </c>
      <c r="E18" s="23" t="s">
        <v>101</v>
      </c>
      <c r="F18" s="26" t="s">
        <v>102</v>
      </c>
      <c r="G18" s="23" t="s">
        <v>84</v>
      </c>
      <c r="H18" s="23">
        <v>20</v>
      </c>
    </row>
    <row r="19" spans="1:8" x14ac:dyDescent="0.3">
      <c r="A19" s="23" t="s">
        <v>103</v>
      </c>
      <c r="B19" s="23" t="s">
        <v>104</v>
      </c>
      <c r="C19" s="26" t="s">
        <v>105</v>
      </c>
      <c r="D19" s="23" t="s">
        <v>106</v>
      </c>
      <c r="E19" s="23" t="s">
        <v>107</v>
      </c>
      <c r="F19" s="26" t="s">
        <v>108</v>
      </c>
      <c r="G19" s="23" t="s">
        <v>109</v>
      </c>
      <c r="H19" s="23">
        <v>20</v>
      </c>
    </row>
    <row r="20" spans="1:8" x14ac:dyDescent="0.3">
      <c r="A20" s="23" t="s">
        <v>110</v>
      </c>
      <c r="B20" s="23" t="s">
        <v>111</v>
      </c>
      <c r="C20" s="26" t="s">
        <v>112</v>
      </c>
      <c r="D20" s="23" t="s">
        <v>113</v>
      </c>
      <c r="E20" s="23" t="s">
        <v>114</v>
      </c>
      <c r="F20" s="26">
        <v>5020</v>
      </c>
      <c r="G20" s="23" t="s">
        <v>115</v>
      </c>
      <c r="H20" s="23">
        <v>20</v>
      </c>
    </row>
    <row r="21" spans="1:8" x14ac:dyDescent="0.3">
      <c r="A21" s="23" t="s">
        <v>116</v>
      </c>
      <c r="B21" s="23" t="s">
        <v>117</v>
      </c>
      <c r="C21" s="26">
        <v>4155551450</v>
      </c>
      <c r="D21" s="23" t="s">
        <v>118</v>
      </c>
      <c r="E21" s="23" t="s">
        <v>119</v>
      </c>
      <c r="F21" s="26">
        <v>97562</v>
      </c>
      <c r="G21" s="23" t="s">
        <v>35</v>
      </c>
      <c r="H21" s="23">
        <v>10</v>
      </c>
    </row>
    <row r="22" spans="1:8" x14ac:dyDescent="0.3">
      <c r="A22" s="23" t="s">
        <v>120</v>
      </c>
      <c r="B22" s="23" t="s">
        <v>121</v>
      </c>
      <c r="C22" s="26">
        <v>2035552570</v>
      </c>
      <c r="D22" s="23" t="s">
        <v>122</v>
      </c>
      <c r="E22" s="23" t="s">
        <v>123</v>
      </c>
      <c r="F22" s="26">
        <v>97562</v>
      </c>
      <c r="G22" s="23" t="s">
        <v>35</v>
      </c>
      <c r="H22" s="23">
        <v>20</v>
      </c>
    </row>
    <row r="23" spans="1:8" x14ac:dyDescent="0.3">
      <c r="A23" s="23" t="s">
        <v>124</v>
      </c>
      <c r="B23" s="23" t="s">
        <v>125</v>
      </c>
      <c r="C23" s="26" t="s">
        <v>126</v>
      </c>
      <c r="D23" s="23" t="s">
        <v>127</v>
      </c>
      <c r="E23" s="23" t="s">
        <v>128</v>
      </c>
      <c r="F23" s="26" t="s">
        <v>129</v>
      </c>
      <c r="G23" s="23" t="s">
        <v>130</v>
      </c>
      <c r="H23" s="23">
        <v>20</v>
      </c>
    </row>
    <row r="24" spans="1:8" x14ac:dyDescent="0.3">
      <c r="A24" s="23" t="s">
        <v>131</v>
      </c>
      <c r="B24" s="23" t="s">
        <v>132</v>
      </c>
      <c r="C24" s="26">
        <v>3105552373</v>
      </c>
      <c r="D24" s="23" t="s">
        <v>133</v>
      </c>
      <c r="E24" s="23" t="s">
        <v>134</v>
      </c>
      <c r="F24" s="26">
        <v>92561</v>
      </c>
      <c r="G24" s="23" t="s">
        <v>35</v>
      </c>
      <c r="H24" s="23">
        <v>10</v>
      </c>
    </row>
    <row r="25" spans="1:8" x14ac:dyDescent="0.3">
      <c r="A25" s="23" t="s">
        <v>135</v>
      </c>
      <c r="B25" s="23" t="s">
        <v>136</v>
      </c>
      <c r="C25" s="26" t="s">
        <v>137</v>
      </c>
      <c r="D25" s="23" t="s">
        <v>138</v>
      </c>
      <c r="E25" s="23" t="s">
        <v>139</v>
      </c>
      <c r="F25" s="26">
        <v>21240</v>
      </c>
      <c r="G25" s="23" t="s">
        <v>84</v>
      </c>
      <c r="H25" s="23">
        <v>20</v>
      </c>
    </row>
    <row r="26" spans="1:8" x14ac:dyDescent="0.3">
      <c r="A26" s="23" t="s">
        <v>140</v>
      </c>
      <c r="B26" s="23" t="s">
        <v>141</v>
      </c>
      <c r="C26" s="26" t="s">
        <v>142</v>
      </c>
      <c r="D26" s="23" t="s">
        <v>143</v>
      </c>
      <c r="E26" s="23" t="s">
        <v>144</v>
      </c>
      <c r="F26" s="26">
        <v>67000</v>
      </c>
      <c r="G26" s="23" t="s">
        <v>30</v>
      </c>
      <c r="H26" s="23">
        <v>20</v>
      </c>
    </row>
    <row r="27" spans="1:8" x14ac:dyDescent="0.3">
      <c r="A27" s="23" t="s">
        <v>145</v>
      </c>
      <c r="B27" s="23" t="s">
        <v>146</v>
      </c>
      <c r="C27" s="26">
        <v>5085559555</v>
      </c>
      <c r="D27" s="23" t="s">
        <v>147</v>
      </c>
      <c r="E27" s="23" t="s">
        <v>34</v>
      </c>
      <c r="F27" s="26">
        <v>50553</v>
      </c>
      <c r="G27" s="23" t="s">
        <v>35</v>
      </c>
      <c r="H27" s="23">
        <v>20</v>
      </c>
    </row>
    <row r="28" spans="1:8" x14ac:dyDescent="0.3">
      <c r="A28" s="23" t="s">
        <v>148</v>
      </c>
      <c r="B28" s="23" t="s">
        <v>149</v>
      </c>
      <c r="C28" s="26" t="s">
        <v>150</v>
      </c>
      <c r="D28" s="23" t="s">
        <v>151</v>
      </c>
      <c r="E28" s="23" t="s">
        <v>152</v>
      </c>
      <c r="F28" s="26">
        <v>1734</v>
      </c>
      <c r="G28" s="23" t="s">
        <v>153</v>
      </c>
      <c r="H28" s="23">
        <v>30</v>
      </c>
    </row>
    <row r="29" spans="1:8" x14ac:dyDescent="0.3">
      <c r="A29" s="23" t="s">
        <v>154</v>
      </c>
      <c r="B29" s="23" t="s">
        <v>155</v>
      </c>
      <c r="C29" s="26">
        <v>2155551555</v>
      </c>
      <c r="D29" s="23" t="s">
        <v>156</v>
      </c>
      <c r="E29" s="23" t="s">
        <v>157</v>
      </c>
      <c r="F29" s="26">
        <v>70267</v>
      </c>
      <c r="G29" s="23" t="s">
        <v>35</v>
      </c>
      <c r="H29" s="23">
        <v>20</v>
      </c>
    </row>
    <row r="30" spans="1:8" x14ac:dyDescent="0.3">
      <c r="A30" s="23" t="s">
        <v>158</v>
      </c>
      <c r="B30" s="23" t="s">
        <v>159</v>
      </c>
      <c r="C30" s="26">
        <v>6265557265</v>
      </c>
      <c r="D30" s="23" t="s">
        <v>160</v>
      </c>
      <c r="E30" s="23" t="s">
        <v>161</v>
      </c>
      <c r="F30" s="26">
        <v>90003</v>
      </c>
      <c r="G30" s="23" t="s">
        <v>35</v>
      </c>
      <c r="H30" s="23">
        <v>10</v>
      </c>
    </row>
    <row r="31" spans="1:8" x14ac:dyDescent="0.3">
      <c r="A31" s="23" t="s">
        <v>162</v>
      </c>
      <c r="B31" s="23" t="s">
        <v>163</v>
      </c>
      <c r="C31" s="26" t="s">
        <v>164</v>
      </c>
      <c r="D31" s="23" t="s">
        <v>165</v>
      </c>
      <c r="E31" s="23" t="s">
        <v>166</v>
      </c>
      <c r="F31" s="26">
        <v>51100</v>
      </c>
      <c r="G31" s="23" t="s">
        <v>30</v>
      </c>
      <c r="H31" s="23">
        <v>20</v>
      </c>
    </row>
    <row r="32" spans="1:8" x14ac:dyDescent="0.3">
      <c r="A32" s="23" t="s">
        <v>167</v>
      </c>
      <c r="B32" s="23" t="s">
        <v>168</v>
      </c>
      <c r="C32" s="26" t="s">
        <v>169</v>
      </c>
      <c r="D32" s="23" t="s">
        <v>170</v>
      </c>
      <c r="E32" s="23" t="s">
        <v>171</v>
      </c>
      <c r="F32" s="26">
        <v>42100</v>
      </c>
      <c r="G32" s="23" t="s">
        <v>172</v>
      </c>
      <c r="H32" s="23">
        <v>20</v>
      </c>
    </row>
    <row r="33" spans="1:8" x14ac:dyDescent="0.3">
      <c r="A33" s="23" t="s">
        <v>173</v>
      </c>
      <c r="B33" s="23" t="s">
        <v>174</v>
      </c>
      <c r="C33" s="26" t="s">
        <v>175</v>
      </c>
      <c r="D33" s="23" t="s">
        <v>176</v>
      </c>
      <c r="E33" s="23" t="s">
        <v>177</v>
      </c>
      <c r="F33" s="26">
        <v>2067</v>
      </c>
      <c r="G33" s="23" t="s">
        <v>57</v>
      </c>
      <c r="H33" s="23">
        <v>10</v>
      </c>
    </row>
    <row r="34" spans="1:8" x14ac:dyDescent="0.3">
      <c r="A34" s="23" t="s">
        <v>178</v>
      </c>
      <c r="B34" s="23" t="s">
        <v>179</v>
      </c>
      <c r="C34" s="26" t="s">
        <v>180</v>
      </c>
      <c r="D34" s="23" t="s">
        <v>181</v>
      </c>
      <c r="E34" s="23" t="s">
        <v>182</v>
      </c>
      <c r="F34" s="26" t="s">
        <v>183</v>
      </c>
      <c r="G34" s="23" t="s">
        <v>184</v>
      </c>
      <c r="H34" s="23">
        <v>10</v>
      </c>
    </row>
    <row r="35" spans="1:8" x14ac:dyDescent="0.3">
      <c r="A35" s="23" t="s">
        <v>185</v>
      </c>
      <c r="B35" s="23" t="s">
        <v>186</v>
      </c>
      <c r="C35" s="29">
        <v>652241555</v>
      </c>
      <c r="D35" s="23" t="s">
        <v>187</v>
      </c>
      <c r="E35" s="23" t="s">
        <v>188</v>
      </c>
      <c r="F35" s="26">
        <v>69045</v>
      </c>
      <c r="G35" s="23" t="s">
        <v>188</v>
      </c>
      <c r="H35" s="23">
        <v>10</v>
      </c>
    </row>
    <row r="36" spans="1:8" x14ac:dyDescent="0.3">
      <c r="A36" s="23" t="s">
        <v>189</v>
      </c>
      <c r="B36" s="23" t="s">
        <v>190</v>
      </c>
      <c r="C36" s="26">
        <v>2015559350</v>
      </c>
      <c r="D36" s="23" t="s">
        <v>191</v>
      </c>
      <c r="E36" s="23" t="s">
        <v>192</v>
      </c>
      <c r="F36" s="26">
        <v>94019</v>
      </c>
      <c r="G36" s="23" t="s">
        <v>35</v>
      </c>
      <c r="H36" s="23">
        <v>20</v>
      </c>
    </row>
    <row r="37" spans="1:8" x14ac:dyDescent="0.3">
      <c r="A37" s="23" t="s">
        <v>193</v>
      </c>
      <c r="B37" s="23" t="s">
        <v>194</v>
      </c>
      <c r="C37" s="26" t="s">
        <v>195</v>
      </c>
      <c r="D37" s="23" t="s">
        <v>196</v>
      </c>
      <c r="E37" s="23" t="s">
        <v>197</v>
      </c>
      <c r="F37" s="26" t="s">
        <v>198</v>
      </c>
      <c r="G37" s="23" t="s">
        <v>184</v>
      </c>
      <c r="H37" s="23">
        <v>10</v>
      </c>
    </row>
    <row r="38" spans="1:8" x14ac:dyDescent="0.3">
      <c r="A38" s="23" t="s">
        <v>199</v>
      </c>
      <c r="B38" s="23" t="s">
        <v>200</v>
      </c>
      <c r="C38" s="26" t="s">
        <v>201</v>
      </c>
      <c r="D38" s="23" t="s">
        <v>202</v>
      </c>
      <c r="E38" s="23" t="s">
        <v>203</v>
      </c>
      <c r="F38" s="26">
        <v>8010</v>
      </c>
      <c r="G38" s="23" t="s">
        <v>115</v>
      </c>
      <c r="H38" s="23">
        <v>10</v>
      </c>
    </row>
    <row r="39" spans="1:8" x14ac:dyDescent="0.3">
      <c r="A39" s="23" t="s">
        <v>204</v>
      </c>
      <c r="B39" s="23" t="s">
        <v>205</v>
      </c>
      <c r="C39" s="26" t="s">
        <v>206</v>
      </c>
      <c r="D39" s="23" t="s">
        <v>207</v>
      </c>
      <c r="E39" s="23" t="s">
        <v>208</v>
      </c>
      <c r="F39" s="26">
        <v>3150</v>
      </c>
      <c r="G39" s="23" t="s">
        <v>57</v>
      </c>
      <c r="H39" s="23">
        <v>10</v>
      </c>
    </row>
    <row r="40" spans="1:8" x14ac:dyDescent="0.3">
      <c r="A40" s="23" t="s">
        <v>209</v>
      </c>
      <c r="B40" s="23" t="s">
        <v>210</v>
      </c>
      <c r="C40" s="29">
        <v>652217555</v>
      </c>
      <c r="D40" s="23" t="s">
        <v>211</v>
      </c>
      <c r="E40" s="23" t="s">
        <v>188</v>
      </c>
      <c r="F40" s="26">
        <v>79903</v>
      </c>
      <c r="G40" s="23" t="s">
        <v>188</v>
      </c>
      <c r="H40" s="23">
        <v>10</v>
      </c>
    </row>
    <row r="41" spans="1:8" x14ac:dyDescent="0.3">
      <c r="A41" s="23" t="s">
        <v>212</v>
      </c>
      <c r="B41" s="23" t="s">
        <v>213</v>
      </c>
      <c r="C41" s="26" t="s">
        <v>214</v>
      </c>
      <c r="D41" s="23" t="s">
        <v>215</v>
      </c>
      <c r="E41" s="23" t="s">
        <v>216</v>
      </c>
      <c r="F41" s="26">
        <v>13008</v>
      </c>
      <c r="G41" s="23" t="s">
        <v>30</v>
      </c>
      <c r="H41" s="23">
        <v>20</v>
      </c>
    </row>
    <row r="42" spans="1:8" x14ac:dyDescent="0.3">
      <c r="A42" s="23" t="s">
        <v>217</v>
      </c>
      <c r="B42" s="23" t="s">
        <v>218</v>
      </c>
      <c r="C42" s="26" t="s">
        <v>219</v>
      </c>
      <c r="D42" s="23" t="s">
        <v>220</v>
      </c>
      <c r="E42" s="23" t="s">
        <v>221</v>
      </c>
      <c r="F42" s="26">
        <v>31000</v>
      </c>
      <c r="G42" s="23" t="s">
        <v>30</v>
      </c>
      <c r="H42" s="23">
        <v>20</v>
      </c>
    </row>
    <row r="43" spans="1:8" x14ac:dyDescent="0.3">
      <c r="A43" s="23" t="s">
        <v>222</v>
      </c>
      <c r="B43" s="23" t="s">
        <v>223</v>
      </c>
      <c r="C43" s="26">
        <v>2526000000</v>
      </c>
      <c r="D43" s="23" t="s">
        <v>28</v>
      </c>
      <c r="E43" s="23" t="s">
        <v>29</v>
      </c>
      <c r="F43" s="26">
        <v>57106</v>
      </c>
      <c r="G43" s="23" t="s">
        <v>30</v>
      </c>
      <c r="H43" s="23">
        <v>20</v>
      </c>
    </row>
    <row r="44" spans="1:8" x14ac:dyDescent="0.3">
      <c r="A44" s="23" t="s">
        <v>224</v>
      </c>
      <c r="B44" s="23" t="s">
        <v>225</v>
      </c>
      <c r="C44" s="26">
        <v>3563220000</v>
      </c>
      <c r="D44" s="23" t="s">
        <v>226</v>
      </c>
      <c r="E44" s="23" t="s">
        <v>34</v>
      </c>
      <c r="F44" s="26">
        <v>63659</v>
      </c>
      <c r="G44" s="23" t="s">
        <v>35</v>
      </c>
      <c r="H44" s="23">
        <v>20</v>
      </c>
    </row>
    <row r="45" spans="1:8" x14ac:dyDescent="0.3">
      <c r="A45" s="23" t="s">
        <v>227</v>
      </c>
      <c r="B45" s="23" t="s">
        <v>228</v>
      </c>
      <c r="C45" s="26">
        <v>4600440000</v>
      </c>
      <c r="D45" s="23" t="s">
        <v>39</v>
      </c>
      <c r="E45" s="23" t="s">
        <v>40</v>
      </c>
      <c r="F45" s="26" t="s">
        <v>41</v>
      </c>
      <c r="G45" s="23" t="s">
        <v>42</v>
      </c>
      <c r="H45" s="23">
        <v>10</v>
      </c>
    </row>
    <row r="46" spans="1:8" x14ac:dyDescent="0.3">
      <c r="A46" s="23" t="s">
        <v>229</v>
      </c>
      <c r="B46" s="23" t="s">
        <v>230</v>
      </c>
      <c r="C46" s="26">
        <v>5637660000</v>
      </c>
      <c r="D46" s="23" t="s">
        <v>231</v>
      </c>
      <c r="E46" s="23" t="s">
        <v>47</v>
      </c>
      <c r="F46" s="26">
        <v>3503.6666666666601</v>
      </c>
      <c r="G46" s="23" t="s">
        <v>48</v>
      </c>
      <c r="H46" s="23">
        <v>20</v>
      </c>
    </row>
    <row r="47" spans="1:8" x14ac:dyDescent="0.3">
      <c r="A47" s="23" t="s">
        <v>232</v>
      </c>
      <c r="B47" s="23" t="s">
        <v>233</v>
      </c>
      <c r="C47" s="26">
        <v>6674880000</v>
      </c>
      <c r="D47" s="23" t="s">
        <v>234</v>
      </c>
      <c r="E47" s="23" t="s">
        <v>52</v>
      </c>
      <c r="F47" s="26">
        <v>-9483.3333333333394</v>
      </c>
      <c r="G47" s="23" t="s">
        <v>35</v>
      </c>
      <c r="H47" s="23">
        <v>30</v>
      </c>
    </row>
    <row r="48" spans="1:8" x14ac:dyDescent="0.3">
      <c r="A48" s="23" t="s">
        <v>235</v>
      </c>
      <c r="B48" s="23" t="s">
        <v>236</v>
      </c>
      <c r="C48" s="26">
        <v>7712100000</v>
      </c>
      <c r="D48" s="23" t="s">
        <v>237</v>
      </c>
      <c r="E48" s="23" t="s">
        <v>56</v>
      </c>
      <c r="F48" s="26">
        <v>-22470.333333333299</v>
      </c>
      <c r="G48" s="23" t="s">
        <v>57</v>
      </c>
      <c r="H48" s="23">
        <v>10</v>
      </c>
    </row>
    <row r="49" spans="1:8" x14ac:dyDescent="0.3">
      <c r="A49" s="23" t="s">
        <v>238</v>
      </c>
      <c r="B49" s="23" t="s">
        <v>239</v>
      </c>
      <c r="C49" s="26">
        <v>8749320000</v>
      </c>
      <c r="D49" s="23" t="s">
        <v>240</v>
      </c>
      <c r="E49" s="23" t="s">
        <v>62</v>
      </c>
      <c r="F49" s="26" t="s">
        <v>241</v>
      </c>
      <c r="G49" s="23" t="s">
        <v>64</v>
      </c>
      <c r="H49" s="23">
        <v>20</v>
      </c>
    </row>
    <row r="50" spans="1:8" x14ac:dyDescent="0.3">
      <c r="A50" s="23" t="s">
        <v>242</v>
      </c>
      <c r="B50" s="23" t="s">
        <v>243</v>
      </c>
      <c r="C50" s="26">
        <v>9786540000</v>
      </c>
      <c r="D50" s="23" t="s">
        <v>244</v>
      </c>
      <c r="E50" s="23" t="s">
        <v>69</v>
      </c>
      <c r="F50" s="26">
        <v>92081.571428571406</v>
      </c>
      <c r="G50" s="23" t="s">
        <v>57</v>
      </c>
      <c r="H50" s="23">
        <v>20</v>
      </c>
    </row>
    <row r="51" spans="1:8" x14ac:dyDescent="0.3">
      <c r="A51" s="23" t="s">
        <v>245</v>
      </c>
      <c r="B51" s="23" t="s">
        <v>246</v>
      </c>
      <c r="C51" s="26">
        <v>10823760000</v>
      </c>
      <c r="D51" s="23" t="s">
        <v>73</v>
      </c>
      <c r="E51" s="23" t="s">
        <v>74</v>
      </c>
      <c r="F51" s="26">
        <v>97810.107142857101</v>
      </c>
      <c r="G51" s="23" t="s">
        <v>30</v>
      </c>
      <c r="H51" s="23">
        <v>20</v>
      </c>
    </row>
    <row r="52" spans="1:8" x14ac:dyDescent="0.3">
      <c r="A52" s="23" t="s">
        <v>247</v>
      </c>
      <c r="B52" s="23" t="s">
        <v>248</v>
      </c>
      <c r="C52" s="26">
        <v>11860980000</v>
      </c>
      <c r="D52" s="23" t="s">
        <v>249</v>
      </c>
      <c r="E52" s="23" t="s">
        <v>78</v>
      </c>
      <c r="F52" s="26">
        <v>103538.642857143</v>
      </c>
      <c r="G52" s="23" t="s">
        <v>35</v>
      </c>
      <c r="H52" s="23">
        <v>10</v>
      </c>
    </row>
    <row r="53" spans="1:8" x14ac:dyDescent="0.3">
      <c r="A53" s="23" t="s">
        <v>250</v>
      </c>
      <c r="B53" s="23" t="s">
        <v>251</v>
      </c>
      <c r="C53" s="26">
        <v>12898200000</v>
      </c>
      <c r="D53" s="23" t="s">
        <v>252</v>
      </c>
      <c r="E53" s="23" t="s">
        <v>83</v>
      </c>
      <c r="F53" s="26">
        <v>109267.178571429</v>
      </c>
      <c r="G53" s="23" t="s">
        <v>84</v>
      </c>
      <c r="H53" s="23">
        <v>20</v>
      </c>
    </row>
    <row r="54" spans="1:8" x14ac:dyDescent="0.3">
      <c r="A54" s="23" t="s">
        <v>253</v>
      </c>
      <c r="B54" s="23" t="s">
        <v>254</v>
      </c>
      <c r="C54" s="26">
        <v>13935420000</v>
      </c>
      <c r="D54" s="23" t="s">
        <v>255</v>
      </c>
      <c r="E54" s="23" t="s">
        <v>74</v>
      </c>
      <c r="F54" s="26">
        <v>114995.714285714</v>
      </c>
      <c r="G54" s="23" t="s">
        <v>30</v>
      </c>
      <c r="H54" s="23">
        <v>20</v>
      </c>
    </row>
    <row r="55" spans="1:8" x14ac:dyDescent="0.3">
      <c r="A55" s="23" t="s">
        <v>256</v>
      </c>
      <c r="B55" s="23" t="s">
        <v>257</v>
      </c>
      <c r="C55" s="26">
        <v>14972640000</v>
      </c>
      <c r="D55" s="23" t="s">
        <v>258</v>
      </c>
      <c r="E55" s="23" t="s">
        <v>92</v>
      </c>
      <c r="F55" s="26">
        <v>120724.25</v>
      </c>
      <c r="G55" s="23" t="s">
        <v>35</v>
      </c>
      <c r="H55" s="23">
        <v>20</v>
      </c>
    </row>
    <row r="56" spans="1:8" x14ac:dyDescent="0.3">
      <c r="A56" s="23" t="s">
        <v>259</v>
      </c>
      <c r="B56" s="23" t="s">
        <v>260</v>
      </c>
      <c r="C56" s="26">
        <v>16009860000</v>
      </c>
      <c r="D56" s="23" t="s">
        <v>261</v>
      </c>
      <c r="E56" s="23" t="s">
        <v>96</v>
      </c>
      <c r="F56" s="26">
        <v>126452.785714286</v>
      </c>
      <c r="G56" s="23" t="s">
        <v>35</v>
      </c>
      <c r="H56" s="23">
        <v>10</v>
      </c>
    </row>
    <row r="57" spans="1:8" x14ac:dyDescent="0.3">
      <c r="A57" s="23" t="s">
        <v>262</v>
      </c>
      <c r="B57" s="23" t="s">
        <v>263</v>
      </c>
      <c r="C57" s="26">
        <v>17047080000</v>
      </c>
      <c r="D57" s="23" t="s">
        <v>100</v>
      </c>
      <c r="E57" s="23" t="s">
        <v>101</v>
      </c>
      <c r="F57" s="26" t="s">
        <v>264</v>
      </c>
      <c r="G57" s="23" t="s">
        <v>84</v>
      </c>
      <c r="H57" s="23">
        <v>10</v>
      </c>
    </row>
    <row r="58" spans="1:8" x14ac:dyDescent="0.3">
      <c r="A58" s="23" t="s">
        <v>265</v>
      </c>
      <c r="B58" s="23" t="s">
        <v>266</v>
      </c>
      <c r="C58" s="26">
        <v>18084300000</v>
      </c>
      <c r="D58" s="23" t="s">
        <v>267</v>
      </c>
      <c r="E58" s="23" t="s">
        <v>107</v>
      </c>
      <c r="F58" s="26" t="s">
        <v>268</v>
      </c>
      <c r="G58" s="23" t="s">
        <v>109</v>
      </c>
      <c r="H58" s="23">
        <v>20</v>
      </c>
    </row>
    <row r="59" spans="1:8" x14ac:dyDescent="0.3">
      <c r="A59" s="23" t="s">
        <v>269</v>
      </c>
      <c r="B59" s="23" t="s">
        <v>270</v>
      </c>
      <c r="C59" s="26">
        <v>19121520000</v>
      </c>
      <c r="D59" s="23" t="s">
        <v>271</v>
      </c>
      <c r="E59" s="23" t="s">
        <v>114</v>
      </c>
      <c r="F59" s="26">
        <v>159256.66666666701</v>
      </c>
      <c r="G59" s="23" t="s">
        <v>115</v>
      </c>
      <c r="H59" s="23">
        <v>20</v>
      </c>
    </row>
    <row r="60" spans="1:8" x14ac:dyDescent="0.3">
      <c r="A60" s="23" t="s">
        <v>272</v>
      </c>
      <c r="B60" s="23" t="s">
        <v>273</v>
      </c>
      <c r="C60" s="26">
        <v>20158740000</v>
      </c>
      <c r="D60" s="23" t="s">
        <v>274</v>
      </c>
      <c r="E60" s="23" t="s">
        <v>119</v>
      </c>
      <c r="F60" s="26">
        <v>205527.66666666701</v>
      </c>
      <c r="G60" s="23" t="s">
        <v>35</v>
      </c>
      <c r="H60" s="23">
        <v>10</v>
      </c>
    </row>
    <row r="61" spans="1:8" x14ac:dyDescent="0.3">
      <c r="A61" s="23" t="s">
        <v>275</v>
      </c>
      <c r="B61" s="23" t="s">
        <v>276</v>
      </c>
      <c r="C61" s="26">
        <v>21195960000</v>
      </c>
      <c r="D61" s="23" t="s">
        <v>277</v>
      </c>
      <c r="E61" s="23" t="s">
        <v>123</v>
      </c>
      <c r="F61" s="26">
        <v>251798.66666666701</v>
      </c>
      <c r="G61" s="23" t="s">
        <v>35</v>
      </c>
      <c r="H61" s="23">
        <v>20</v>
      </c>
    </row>
    <row r="62" spans="1:8" x14ac:dyDescent="0.3">
      <c r="A62" s="23" t="s">
        <v>278</v>
      </c>
      <c r="B62" s="23" t="s">
        <v>279</v>
      </c>
      <c r="C62" s="26">
        <v>22233180000</v>
      </c>
      <c r="D62" s="23" t="s">
        <v>127</v>
      </c>
      <c r="E62" s="23" t="s">
        <v>128</v>
      </c>
      <c r="F62" s="26" t="s">
        <v>280</v>
      </c>
      <c r="G62" s="23" t="s">
        <v>130</v>
      </c>
      <c r="H62" s="23">
        <v>20</v>
      </c>
    </row>
    <row r="63" spans="1:8" x14ac:dyDescent="0.3">
      <c r="A63" s="23" t="s">
        <v>281</v>
      </c>
      <c r="B63" s="23" t="s">
        <v>282</v>
      </c>
      <c r="C63" s="26">
        <v>23270400000</v>
      </c>
      <c r="D63" s="23" t="s">
        <v>283</v>
      </c>
      <c r="E63" s="23" t="s">
        <v>134</v>
      </c>
      <c r="F63" s="26">
        <v>30161.0666666666</v>
      </c>
      <c r="G63" s="23" t="s">
        <v>35</v>
      </c>
      <c r="H63" s="23">
        <v>10</v>
      </c>
    </row>
    <row r="64" spans="1:8" x14ac:dyDescent="0.3">
      <c r="A64" s="23" t="s">
        <v>284</v>
      </c>
      <c r="B64" s="23" t="s">
        <v>285</v>
      </c>
      <c r="C64" s="26">
        <v>24307620000</v>
      </c>
      <c r="D64" s="23" t="s">
        <v>286</v>
      </c>
      <c r="E64" s="23" t="s">
        <v>139</v>
      </c>
      <c r="F64" s="26">
        <v>26760.806060605999</v>
      </c>
      <c r="G64" s="23" t="s">
        <v>84</v>
      </c>
      <c r="H64" s="23">
        <v>10</v>
      </c>
    </row>
    <row r="65" spans="1:8" x14ac:dyDescent="0.3">
      <c r="A65" s="23" t="s">
        <v>287</v>
      </c>
      <c r="B65" s="23" t="s">
        <v>288</v>
      </c>
      <c r="C65" s="26">
        <v>25344840000</v>
      </c>
      <c r="D65" s="23" t="s">
        <v>143</v>
      </c>
      <c r="E65" s="23" t="s">
        <v>144</v>
      </c>
      <c r="F65" s="26">
        <v>23360.545454545401</v>
      </c>
      <c r="G65" s="23" t="s">
        <v>30</v>
      </c>
      <c r="H65" s="23">
        <v>10</v>
      </c>
    </row>
    <row r="66" spans="1:8" x14ac:dyDescent="0.3">
      <c r="A66" s="23" t="s">
        <v>289</v>
      </c>
      <c r="B66" s="23" t="s">
        <v>290</v>
      </c>
      <c r="C66" s="26">
        <v>26382060000</v>
      </c>
      <c r="D66" s="23" t="s">
        <v>291</v>
      </c>
      <c r="E66" s="23" t="s">
        <v>34</v>
      </c>
      <c r="F66" s="26">
        <v>19960.2848484848</v>
      </c>
      <c r="G66" s="23" t="s">
        <v>35</v>
      </c>
      <c r="H66" s="23">
        <v>20</v>
      </c>
    </row>
    <row r="67" spans="1:8" x14ac:dyDescent="0.3">
      <c r="A67" s="23" t="s">
        <v>292</v>
      </c>
      <c r="B67" s="23" t="s">
        <v>293</v>
      </c>
      <c r="C67" s="26">
        <v>27419280000</v>
      </c>
      <c r="D67" s="23" t="s">
        <v>294</v>
      </c>
      <c r="E67" s="23" t="s">
        <v>152</v>
      </c>
      <c r="F67" s="26">
        <v>16560.024242424199</v>
      </c>
      <c r="G67" s="23" t="s">
        <v>153</v>
      </c>
      <c r="H67" s="23">
        <v>10</v>
      </c>
    </row>
    <row r="68" spans="1:8" x14ac:dyDescent="0.3">
      <c r="A68" s="23" t="s">
        <v>295</v>
      </c>
      <c r="B68" s="23" t="s">
        <v>296</v>
      </c>
      <c r="C68" s="26">
        <v>28456500000</v>
      </c>
      <c r="D68" s="23" t="s">
        <v>297</v>
      </c>
      <c r="E68" s="23" t="s">
        <v>157</v>
      </c>
      <c r="F68" s="26">
        <v>13159.763636363599</v>
      </c>
      <c r="G68" s="23" t="s">
        <v>35</v>
      </c>
      <c r="H68" s="23">
        <v>10</v>
      </c>
    </row>
    <row r="69" spans="1:8" x14ac:dyDescent="0.3">
      <c r="A69" s="23" t="s">
        <v>298</v>
      </c>
      <c r="B69" s="23" t="s">
        <v>299</v>
      </c>
      <c r="C69" s="26">
        <v>29493720000</v>
      </c>
      <c r="D69" s="23" t="s">
        <v>160</v>
      </c>
      <c r="E69" s="23" t="s">
        <v>161</v>
      </c>
      <c r="F69" s="26">
        <v>9759.5030303030308</v>
      </c>
      <c r="G69" s="23" t="s">
        <v>35</v>
      </c>
      <c r="H69" s="23">
        <v>30</v>
      </c>
    </row>
    <row r="70" spans="1:8" x14ac:dyDescent="0.3">
      <c r="A70" s="23" t="s">
        <v>300</v>
      </c>
      <c r="B70" s="23" t="s">
        <v>301</v>
      </c>
      <c r="C70" s="26">
        <v>30530940000</v>
      </c>
      <c r="D70" s="23" t="s">
        <v>302</v>
      </c>
      <c r="E70" s="23" t="s">
        <v>166</v>
      </c>
      <c r="F70" s="26">
        <v>6359.2424242424304</v>
      </c>
      <c r="G70" s="23" t="s">
        <v>30</v>
      </c>
      <c r="H70" s="23">
        <v>10</v>
      </c>
    </row>
    <row r="71" spans="1:8" x14ac:dyDescent="0.3">
      <c r="A71" s="23" t="s">
        <v>303</v>
      </c>
      <c r="B71" s="23" t="s">
        <v>304</v>
      </c>
      <c r="C71" s="26">
        <v>31568160000</v>
      </c>
      <c r="D71" s="23" t="s">
        <v>305</v>
      </c>
      <c r="E71" s="23" t="s">
        <v>171</v>
      </c>
      <c r="F71" s="26">
        <v>2958.98181818183</v>
      </c>
      <c r="G71" s="23" t="s">
        <v>172</v>
      </c>
      <c r="H71" s="23">
        <v>10</v>
      </c>
    </row>
    <row r="72" spans="1:8" x14ac:dyDescent="0.3">
      <c r="A72" s="23" t="s">
        <v>306</v>
      </c>
      <c r="B72" s="23" t="s">
        <v>307</v>
      </c>
      <c r="C72" s="26">
        <v>32605380000</v>
      </c>
      <c r="D72" s="23" t="s">
        <v>176</v>
      </c>
      <c r="E72" s="23" t="s">
        <v>177</v>
      </c>
      <c r="F72" s="26">
        <v>-441.27878787877103</v>
      </c>
      <c r="G72" s="23" t="s">
        <v>57</v>
      </c>
      <c r="H72" s="23">
        <v>20</v>
      </c>
    </row>
    <row r="73" spans="1:8" x14ac:dyDescent="0.3">
      <c r="A73" s="23" t="s">
        <v>308</v>
      </c>
      <c r="B73" s="23" t="s">
        <v>309</v>
      </c>
      <c r="C73" s="26">
        <v>33642600000</v>
      </c>
      <c r="D73" s="23" t="s">
        <v>310</v>
      </c>
      <c r="E73" s="23" t="s">
        <v>182</v>
      </c>
      <c r="F73" s="26" t="s">
        <v>311</v>
      </c>
      <c r="G73" s="23" t="s">
        <v>184</v>
      </c>
      <c r="H73" s="23">
        <v>20</v>
      </c>
    </row>
    <row r="74" spans="1:8" x14ac:dyDescent="0.3">
      <c r="A74" s="23" t="s">
        <v>312</v>
      </c>
      <c r="B74" s="23" t="s">
        <v>313</v>
      </c>
      <c r="C74" s="26">
        <v>34679820000</v>
      </c>
      <c r="D74" s="23" t="s">
        <v>187</v>
      </c>
      <c r="E74" s="23" t="s">
        <v>188</v>
      </c>
      <c r="F74" s="26">
        <v>118993</v>
      </c>
      <c r="G74" s="23" t="s">
        <v>188</v>
      </c>
      <c r="H74" s="23">
        <v>20</v>
      </c>
    </row>
    <row r="75" spans="1:8" x14ac:dyDescent="0.3">
      <c r="A75" s="23" t="s">
        <v>314</v>
      </c>
      <c r="B75" s="23" t="s">
        <v>315</v>
      </c>
      <c r="C75" s="26">
        <v>35717040000</v>
      </c>
      <c r="D75" s="23" t="s">
        <v>316</v>
      </c>
      <c r="E75" s="23" t="s">
        <v>192</v>
      </c>
      <c r="F75" s="26">
        <v>143967</v>
      </c>
      <c r="G75" s="23" t="s">
        <v>35</v>
      </c>
      <c r="H75" s="23">
        <v>10</v>
      </c>
    </row>
    <row r="76" spans="1:8" x14ac:dyDescent="0.3">
      <c r="A76" s="23" t="s">
        <v>317</v>
      </c>
      <c r="B76" s="23" t="s">
        <v>318</v>
      </c>
      <c r="C76" s="26">
        <v>36754260000</v>
      </c>
      <c r="D76" s="23" t="s">
        <v>319</v>
      </c>
      <c r="E76" s="23" t="s">
        <v>197</v>
      </c>
      <c r="F76" s="26" t="s">
        <v>320</v>
      </c>
      <c r="G76" s="23" t="s">
        <v>184</v>
      </c>
      <c r="H76" s="23">
        <v>10</v>
      </c>
    </row>
    <row r="77" spans="1:8" x14ac:dyDescent="0.3">
      <c r="A77" s="23" t="s">
        <v>321</v>
      </c>
      <c r="B77" s="23" t="s">
        <v>322</v>
      </c>
      <c r="C77" s="26">
        <v>37791480000</v>
      </c>
      <c r="D77" s="23" t="s">
        <v>323</v>
      </c>
      <c r="E77" s="23" t="s">
        <v>203</v>
      </c>
      <c r="F77" s="26">
        <v>43765.599999999999</v>
      </c>
      <c r="G77" s="23" t="s">
        <v>115</v>
      </c>
      <c r="H77" s="23">
        <v>20</v>
      </c>
    </row>
    <row r="78" spans="1:8" x14ac:dyDescent="0.3">
      <c r="A78" s="23" t="s">
        <v>324</v>
      </c>
      <c r="B78" s="23" t="s">
        <v>325</v>
      </c>
      <c r="C78" s="26">
        <v>38828700000</v>
      </c>
      <c r="D78" s="23" t="s">
        <v>326</v>
      </c>
      <c r="E78" s="23" t="s">
        <v>208</v>
      </c>
      <c r="F78" s="26">
        <v>49349.4</v>
      </c>
      <c r="G78" s="23" t="s">
        <v>57</v>
      </c>
      <c r="H78" s="23">
        <v>10</v>
      </c>
    </row>
    <row r="79" spans="1:8" x14ac:dyDescent="0.3">
      <c r="A79" s="23" t="s">
        <v>327</v>
      </c>
      <c r="B79" s="23" t="s">
        <v>328</v>
      </c>
      <c r="C79" s="26">
        <v>39865920000</v>
      </c>
      <c r="D79" s="23" t="s">
        <v>211</v>
      </c>
      <c r="E79" s="23" t="s">
        <v>188</v>
      </c>
      <c r="F79" s="26">
        <v>54933.2</v>
      </c>
      <c r="G79" s="23" t="s">
        <v>188</v>
      </c>
      <c r="H79" s="23">
        <v>20</v>
      </c>
    </row>
    <row r="80" spans="1:8" x14ac:dyDescent="0.3">
      <c r="A80" s="23" t="s">
        <v>329</v>
      </c>
      <c r="B80" s="23" t="s">
        <v>330</v>
      </c>
      <c r="C80" s="26">
        <v>40903140000</v>
      </c>
      <c r="D80" s="23" t="s">
        <v>215</v>
      </c>
      <c r="E80" s="23" t="s">
        <v>216</v>
      </c>
      <c r="F80" s="26">
        <v>60517</v>
      </c>
      <c r="G80" s="23" t="s">
        <v>30</v>
      </c>
      <c r="H80" s="23">
        <v>20</v>
      </c>
    </row>
    <row r="81" spans="1:8" x14ac:dyDescent="0.3">
      <c r="A81" s="23" t="s">
        <v>331</v>
      </c>
      <c r="B81" s="23" t="s">
        <v>332</v>
      </c>
      <c r="C81" s="26">
        <v>41940360000</v>
      </c>
      <c r="D81" s="23" t="s">
        <v>333</v>
      </c>
      <c r="E81" s="23" t="s">
        <v>221</v>
      </c>
      <c r="F81" s="26">
        <v>66100.800000000003</v>
      </c>
      <c r="G81" s="23" t="s">
        <v>30</v>
      </c>
      <c r="H81" s="23">
        <v>20</v>
      </c>
    </row>
    <row r="82" spans="1:8" x14ac:dyDescent="0.3">
      <c r="A82" s="23" t="s">
        <v>334</v>
      </c>
      <c r="B82" s="23" t="s">
        <v>335</v>
      </c>
      <c r="C82" s="26">
        <v>42977580000</v>
      </c>
      <c r="D82" s="23" t="s">
        <v>28</v>
      </c>
      <c r="E82" s="23" t="s">
        <v>29</v>
      </c>
      <c r="F82" s="26">
        <v>70212</v>
      </c>
      <c r="G82" s="23" t="s">
        <v>30</v>
      </c>
      <c r="H82" s="23">
        <v>20</v>
      </c>
    </row>
    <row r="83" spans="1:8" x14ac:dyDescent="0.3">
      <c r="A83" s="23" t="s">
        <v>336</v>
      </c>
      <c r="B83" s="23" t="s">
        <v>337</v>
      </c>
      <c r="C83" s="26">
        <v>44014800000</v>
      </c>
      <c r="D83" s="23" t="s">
        <v>338</v>
      </c>
      <c r="E83" s="23" t="s">
        <v>34</v>
      </c>
      <c r="F83" s="26">
        <v>76765</v>
      </c>
      <c r="G83" s="23" t="s">
        <v>35</v>
      </c>
      <c r="H83" s="23">
        <v>10</v>
      </c>
    </row>
    <row r="84" spans="1:8" x14ac:dyDescent="0.3">
      <c r="A84" s="23" t="s">
        <v>339</v>
      </c>
      <c r="B84" s="23" t="s">
        <v>340</v>
      </c>
      <c r="C84" s="26">
        <v>45052020000</v>
      </c>
      <c r="D84" s="23" t="s">
        <v>39</v>
      </c>
      <c r="E84" s="23" t="s">
        <v>40</v>
      </c>
      <c r="F84" s="26" t="s">
        <v>41</v>
      </c>
      <c r="G84" s="23" t="s">
        <v>42</v>
      </c>
      <c r="H84" s="23">
        <v>20</v>
      </c>
    </row>
    <row r="85" spans="1:8" x14ac:dyDescent="0.3">
      <c r="A85" s="23" t="s">
        <v>341</v>
      </c>
      <c r="B85" s="23" t="s">
        <v>342</v>
      </c>
      <c r="C85" s="26">
        <v>46089240000</v>
      </c>
      <c r="D85" s="23" t="s">
        <v>343</v>
      </c>
      <c r="E85" s="23" t="s">
        <v>47</v>
      </c>
      <c r="F85" s="26">
        <v>-35457.333333333299</v>
      </c>
      <c r="G85" s="23" t="s">
        <v>48</v>
      </c>
      <c r="H85" s="23">
        <v>10</v>
      </c>
    </row>
    <row r="86" spans="1:8" x14ac:dyDescent="0.3">
      <c r="A86" s="23" t="s">
        <v>344</v>
      </c>
      <c r="B86" s="23" t="s">
        <v>345</v>
      </c>
      <c r="C86" s="26">
        <v>47126460000</v>
      </c>
      <c r="D86" s="23" t="s">
        <v>346</v>
      </c>
      <c r="E86" s="23" t="s">
        <v>52</v>
      </c>
      <c r="F86" s="26">
        <v>-48444.333333333299</v>
      </c>
      <c r="G86" s="23" t="s">
        <v>35</v>
      </c>
      <c r="H86" s="23">
        <v>10</v>
      </c>
    </row>
    <row r="87" spans="1:8" x14ac:dyDescent="0.3">
      <c r="A87" s="23" t="s">
        <v>347</v>
      </c>
      <c r="B87" s="23" t="s">
        <v>348</v>
      </c>
      <c r="C87" s="26">
        <v>48163680000</v>
      </c>
      <c r="D87" s="23" t="s">
        <v>349</v>
      </c>
      <c r="E87" s="23" t="s">
        <v>56</v>
      </c>
      <c r="F87" s="26">
        <v>-61431.333333333299</v>
      </c>
      <c r="G87" s="23" t="s">
        <v>57</v>
      </c>
      <c r="H87" s="23">
        <v>30</v>
      </c>
    </row>
    <row r="88" spans="1:8" x14ac:dyDescent="0.3">
      <c r="A88" s="23" t="s">
        <v>350</v>
      </c>
      <c r="B88" s="23" t="s">
        <v>351</v>
      </c>
      <c r="C88" s="26">
        <v>49200900000</v>
      </c>
      <c r="D88" s="23" t="s">
        <v>352</v>
      </c>
      <c r="E88" s="23" t="s">
        <v>62</v>
      </c>
      <c r="F88" s="26" t="s">
        <v>353</v>
      </c>
      <c r="G88" s="23" t="s">
        <v>64</v>
      </c>
      <c r="H88" s="23">
        <v>10</v>
      </c>
    </row>
    <row r="89" spans="1:8" x14ac:dyDescent="0.3">
      <c r="A89" s="23" t="s">
        <v>354</v>
      </c>
      <c r="B89" s="23" t="s">
        <v>355</v>
      </c>
      <c r="C89" s="26">
        <v>50238120000</v>
      </c>
      <c r="D89" s="23" t="s">
        <v>356</v>
      </c>
      <c r="E89" s="23" t="s">
        <v>69</v>
      </c>
      <c r="F89" s="26">
        <v>132181.32142857101</v>
      </c>
      <c r="G89" s="23" t="s">
        <v>57</v>
      </c>
      <c r="H89" s="23">
        <v>10</v>
      </c>
    </row>
    <row r="90" spans="1:8" x14ac:dyDescent="0.3">
      <c r="A90" s="23" t="s">
        <v>357</v>
      </c>
      <c r="B90" s="23" t="s">
        <v>358</v>
      </c>
      <c r="C90" s="26">
        <v>51275340000</v>
      </c>
      <c r="D90" s="23" t="s">
        <v>73</v>
      </c>
      <c r="E90" s="23" t="s">
        <v>74</v>
      </c>
      <c r="F90" s="26">
        <v>137909.85714285701</v>
      </c>
      <c r="G90" s="23" t="s">
        <v>30</v>
      </c>
      <c r="H90" s="23">
        <v>10</v>
      </c>
    </row>
    <row r="91" spans="1:8" x14ac:dyDescent="0.3">
      <c r="A91" s="23" t="s">
        <v>359</v>
      </c>
      <c r="B91" s="23" t="s">
        <v>360</v>
      </c>
      <c r="C91" s="26">
        <v>52312560000</v>
      </c>
      <c r="D91" s="23" t="s">
        <v>361</v>
      </c>
      <c r="E91" s="23" t="s">
        <v>78</v>
      </c>
      <c r="F91" s="26">
        <v>143638.39285714299</v>
      </c>
      <c r="G91" s="23" t="s">
        <v>35</v>
      </c>
      <c r="H91" s="23">
        <v>20</v>
      </c>
    </row>
    <row r="92" spans="1:8" x14ac:dyDescent="0.3">
      <c r="A92" s="23" t="s">
        <v>362</v>
      </c>
      <c r="B92" s="23" t="s">
        <v>363</v>
      </c>
      <c r="C92" s="26">
        <v>53349780000</v>
      </c>
      <c r="D92" s="23" t="s">
        <v>364</v>
      </c>
      <c r="E92" s="23" t="s">
        <v>83</v>
      </c>
      <c r="F92" s="26">
        <v>149366.92857142899</v>
      </c>
      <c r="G92" s="23" t="s">
        <v>84</v>
      </c>
      <c r="H92" s="23">
        <v>30</v>
      </c>
    </row>
    <row r="93" spans="1:8" x14ac:dyDescent="0.3">
      <c r="A93" s="23" t="s">
        <v>365</v>
      </c>
      <c r="C93" s="26" t="s">
        <v>366</v>
      </c>
      <c r="D93" s="23" t="s">
        <v>28</v>
      </c>
      <c r="E93" s="23" t="s">
        <v>29</v>
      </c>
      <c r="F93" s="26">
        <v>57106</v>
      </c>
      <c r="G93" s="23" t="s">
        <v>30</v>
      </c>
      <c r="H93" s="23">
        <v>10</v>
      </c>
    </row>
    <row r="94" spans="1:8" x14ac:dyDescent="0.3">
      <c r="A94" s="23" t="s">
        <v>367</v>
      </c>
      <c r="C94" s="26">
        <v>5085552556</v>
      </c>
      <c r="D94" s="23" t="s">
        <v>226</v>
      </c>
      <c r="E94" s="23" t="s">
        <v>34</v>
      </c>
      <c r="F94" s="26">
        <v>63659</v>
      </c>
      <c r="G94" s="23" t="s">
        <v>35</v>
      </c>
      <c r="H94" s="23">
        <v>10</v>
      </c>
    </row>
    <row r="95" spans="1:8" x14ac:dyDescent="0.3">
      <c r="A95" s="23" t="s">
        <v>368</v>
      </c>
      <c r="B95" s="23" t="s">
        <v>369</v>
      </c>
      <c r="C95" s="26" t="s">
        <v>370</v>
      </c>
      <c r="D95" s="23" t="s">
        <v>39</v>
      </c>
      <c r="E95" s="23" t="s">
        <v>40</v>
      </c>
      <c r="F95" s="26" t="s">
        <v>41</v>
      </c>
      <c r="G95" s="23" t="s">
        <v>42</v>
      </c>
      <c r="H95" s="23">
        <v>10</v>
      </c>
    </row>
    <row r="96" spans="1:8" x14ac:dyDescent="0.3">
      <c r="A96" s="23" t="s">
        <v>371</v>
      </c>
      <c r="B96" s="23" t="s">
        <v>372</v>
      </c>
      <c r="C96" s="26" t="s">
        <v>373</v>
      </c>
      <c r="D96" s="23" t="s">
        <v>231</v>
      </c>
      <c r="E96" s="23" t="s">
        <v>47</v>
      </c>
      <c r="F96" s="26">
        <v>3503.6666666666601</v>
      </c>
      <c r="G96" s="23" t="s">
        <v>48</v>
      </c>
      <c r="H96" s="23">
        <v>10</v>
      </c>
    </row>
    <row r="97" spans="1:8" x14ac:dyDescent="0.3">
      <c r="A97" s="23" t="s">
        <v>374</v>
      </c>
      <c r="B97" s="23" t="s">
        <v>375</v>
      </c>
      <c r="C97" s="26">
        <v>-5576821445</v>
      </c>
      <c r="D97" s="23" t="s">
        <v>234</v>
      </c>
      <c r="E97" s="23" t="s">
        <v>52</v>
      </c>
      <c r="F97" s="26">
        <v>-9483.3333333333394</v>
      </c>
      <c r="G97" s="23" t="s">
        <v>35</v>
      </c>
      <c r="H97" s="23">
        <v>10</v>
      </c>
    </row>
    <row r="98" spans="1:8" x14ac:dyDescent="0.3">
      <c r="A98" s="23" t="s">
        <v>376</v>
      </c>
      <c r="B98" s="23" t="s">
        <v>377</v>
      </c>
      <c r="C98" s="29">
        <v>-11453011445</v>
      </c>
      <c r="D98" s="23" t="s">
        <v>237</v>
      </c>
      <c r="E98" s="23" t="s">
        <v>56</v>
      </c>
      <c r="F98" s="26">
        <v>-22470.333333333299</v>
      </c>
      <c r="G98" s="23" t="s">
        <v>57</v>
      </c>
      <c r="H98" s="23">
        <v>20</v>
      </c>
    </row>
    <row r="99" spans="1:8" x14ac:dyDescent="0.3">
      <c r="A99" s="23" t="s">
        <v>378</v>
      </c>
      <c r="B99" s="23" t="s">
        <v>379</v>
      </c>
      <c r="C99" s="26" t="s">
        <v>380</v>
      </c>
      <c r="D99" s="23" t="s">
        <v>240</v>
      </c>
      <c r="E99" s="23" t="s">
        <v>62</v>
      </c>
      <c r="F99" s="26" t="s">
        <v>241</v>
      </c>
      <c r="G99" s="23" t="s">
        <v>64</v>
      </c>
      <c r="H99" s="23">
        <v>10</v>
      </c>
    </row>
    <row r="100" spans="1:8" x14ac:dyDescent="0.3">
      <c r="A100" s="23" t="s">
        <v>381</v>
      </c>
      <c r="B100" s="23" t="s">
        <v>382</v>
      </c>
      <c r="C100" s="26" t="s">
        <v>383</v>
      </c>
      <c r="D100" s="23" t="s">
        <v>244</v>
      </c>
      <c r="E100" s="23" t="s">
        <v>69</v>
      </c>
      <c r="F100" s="26">
        <v>92081.571428571406</v>
      </c>
      <c r="G100" s="23" t="s">
        <v>57</v>
      </c>
      <c r="H100" s="23">
        <v>20</v>
      </c>
    </row>
    <row r="101" spans="1:8" x14ac:dyDescent="0.3">
      <c r="A101" s="23" t="s">
        <v>384</v>
      </c>
      <c r="B101" s="23" t="s">
        <v>385</v>
      </c>
      <c r="C101" s="26" t="s">
        <v>386</v>
      </c>
      <c r="D101" s="23" t="s">
        <v>73</v>
      </c>
      <c r="E101" s="23" t="s">
        <v>74</v>
      </c>
      <c r="F101" s="26">
        <v>97810.107142857101</v>
      </c>
      <c r="G101" s="23" t="s">
        <v>30</v>
      </c>
      <c r="H101" s="23">
        <v>20</v>
      </c>
    </row>
    <row r="102" spans="1:8" x14ac:dyDescent="0.3">
      <c r="A102" s="23" t="s">
        <v>387</v>
      </c>
      <c r="B102" s="23" t="s">
        <v>388</v>
      </c>
      <c r="C102" s="26">
        <v>6505556810</v>
      </c>
      <c r="D102" s="23" t="s">
        <v>249</v>
      </c>
      <c r="E102" s="23" t="s">
        <v>78</v>
      </c>
      <c r="F102" s="26">
        <v>103538.642857143</v>
      </c>
      <c r="G102" s="23" t="s">
        <v>35</v>
      </c>
      <c r="H102" s="23">
        <v>10</v>
      </c>
    </row>
    <row r="103" spans="1:8" x14ac:dyDescent="0.3">
      <c r="A103" s="23" t="s">
        <v>389</v>
      </c>
      <c r="B103" s="23" t="s">
        <v>390</v>
      </c>
      <c r="C103" s="26" t="s">
        <v>391</v>
      </c>
      <c r="D103" s="23" t="s">
        <v>252</v>
      </c>
      <c r="E103" s="23" t="s">
        <v>83</v>
      </c>
      <c r="F103" s="26">
        <v>109267.178571429</v>
      </c>
      <c r="G103" s="23" t="s">
        <v>84</v>
      </c>
      <c r="H103" s="23">
        <v>10</v>
      </c>
    </row>
    <row r="104" spans="1:8" x14ac:dyDescent="0.3">
      <c r="A104" s="23" t="s">
        <v>392</v>
      </c>
      <c r="B104" s="23" t="s">
        <v>393</v>
      </c>
      <c r="C104" s="26" t="s">
        <v>394</v>
      </c>
      <c r="D104" s="23" t="s">
        <v>255</v>
      </c>
      <c r="E104" s="23" t="s">
        <v>74</v>
      </c>
      <c r="F104" s="26">
        <v>114995.714285714</v>
      </c>
      <c r="G104" s="23" t="s">
        <v>30</v>
      </c>
      <c r="H104" s="23">
        <v>20</v>
      </c>
    </row>
    <row r="105" spans="1:8" x14ac:dyDescent="0.3">
      <c r="A105" s="23" t="s">
        <v>395</v>
      </c>
      <c r="B105" s="23" t="s">
        <v>396</v>
      </c>
      <c r="C105" s="26">
        <v>8265565451</v>
      </c>
      <c r="D105" s="23" t="s">
        <v>258</v>
      </c>
      <c r="E105" s="23" t="s">
        <v>92</v>
      </c>
      <c r="F105" s="26">
        <v>120724.25</v>
      </c>
      <c r="G105" s="23" t="s">
        <v>35</v>
      </c>
      <c r="H105" s="23">
        <v>10</v>
      </c>
    </row>
    <row r="106" spans="1:8" x14ac:dyDescent="0.3">
      <c r="A106" s="23" t="s">
        <v>397</v>
      </c>
      <c r="B106" s="23" t="s">
        <v>398</v>
      </c>
      <c r="C106" s="26">
        <v>10355571347</v>
      </c>
      <c r="D106" s="23" t="s">
        <v>261</v>
      </c>
      <c r="E106" s="23" t="s">
        <v>96</v>
      </c>
      <c r="F106" s="26">
        <v>126452.785714286</v>
      </c>
      <c r="G106" s="23" t="s">
        <v>35</v>
      </c>
      <c r="H106" s="23">
        <v>20</v>
      </c>
    </row>
    <row r="107" spans="1:8" x14ac:dyDescent="0.3">
      <c r="A107" s="23" t="s">
        <v>399</v>
      </c>
      <c r="B107" s="23" t="s">
        <v>400</v>
      </c>
      <c r="C107" s="26" t="s">
        <v>401</v>
      </c>
      <c r="D107" s="23" t="s">
        <v>100</v>
      </c>
      <c r="E107" s="23" t="s">
        <v>101</v>
      </c>
      <c r="F107" s="26" t="s">
        <v>264</v>
      </c>
      <c r="G107" s="23" t="s">
        <v>84</v>
      </c>
      <c r="H107" s="23">
        <v>20</v>
      </c>
    </row>
    <row r="108" spans="1:8" x14ac:dyDescent="0.3">
      <c r="A108" s="23" t="s">
        <v>402</v>
      </c>
      <c r="B108" s="23" t="s">
        <v>403</v>
      </c>
      <c r="C108" s="26" t="s">
        <v>404</v>
      </c>
      <c r="D108" s="23" t="s">
        <v>267</v>
      </c>
      <c r="E108" s="23" t="s">
        <v>107</v>
      </c>
      <c r="F108" s="26" t="s">
        <v>268</v>
      </c>
      <c r="G108" s="23" t="s">
        <v>109</v>
      </c>
      <c r="H108" s="23">
        <v>10</v>
      </c>
    </row>
    <row r="109" spans="1:8" x14ac:dyDescent="0.3">
      <c r="A109" s="23" t="s">
        <v>405</v>
      </c>
      <c r="B109" s="23" t="s">
        <v>406</v>
      </c>
      <c r="C109" s="26" t="s">
        <v>407</v>
      </c>
      <c r="D109" s="23" t="s">
        <v>271</v>
      </c>
      <c r="E109" s="23" t="s">
        <v>114</v>
      </c>
      <c r="F109" s="26">
        <v>159256.66666666701</v>
      </c>
      <c r="G109" s="23" t="s">
        <v>115</v>
      </c>
      <c r="H109" s="23">
        <v>30</v>
      </c>
    </row>
    <row r="110" spans="1:8" x14ac:dyDescent="0.3">
      <c r="A110" s="23" t="s">
        <v>408</v>
      </c>
      <c r="B110" s="23" t="s">
        <v>409</v>
      </c>
      <c r="C110" s="26">
        <v>-84446310</v>
      </c>
      <c r="D110" s="23" t="s">
        <v>274</v>
      </c>
      <c r="E110" s="23" t="s">
        <v>119</v>
      </c>
      <c r="F110" s="26">
        <v>205527.66666666701</v>
      </c>
      <c r="G110" s="23" t="s">
        <v>35</v>
      </c>
      <c r="H110" s="23">
        <v>30</v>
      </c>
    </row>
    <row r="111" spans="1:8" x14ac:dyDescent="0.3">
      <c r="A111" s="23" t="s">
        <v>410</v>
      </c>
      <c r="B111" s="23" t="s">
        <v>411</v>
      </c>
      <c r="C111" s="26">
        <v>-2204445190</v>
      </c>
      <c r="D111" s="23" t="s">
        <v>277</v>
      </c>
      <c r="E111" s="23" t="s">
        <v>123</v>
      </c>
      <c r="F111" s="26">
        <v>251798.66666666701</v>
      </c>
      <c r="G111" s="23" t="s">
        <v>35</v>
      </c>
      <c r="H111" s="23">
        <v>10</v>
      </c>
    </row>
    <row r="112" spans="1:8" x14ac:dyDescent="0.3">
      <c r="A112" s="23" t="s">
        <v>412</v>
      </c>
      <c r="B112" s="23" t="s">
        <v>413</v>
      </c>
      <c r="C112" s="26" t="s">
        <v>414</v>
      </c>
      <c r="D112" s="23" t="s">
        <v>127</v>
      </c>
      <c r="E112" s="23" t="s">
        <v>128</v>
      </c>
      <c r="F112" s="26" t="s">
        <v>280</v>
      </c>
      <c r="G112" s="23" t="s">
        <v>130</v>
      </c>
      <c r="H112" s="23">
        <v>20</v>
      </c>
    </row>
    <row r="113" spans="1:8" x14ac:dyDescent="0.3">
      <c r="A113" s="23" t="s">
        <v>415</v>
      </c>
      <c r="B113" s="23" t="s">
        <v>416</v>
      </c>
      <c r="C113" s="26">
        <v>3105552374</v>
      </c>
      <c r="D113" s="23" t="s">
        <v>283</v>
      </c>
      <c r="E113" s="23" t="s">
        <v>134</v>
      </c>
      <c r="F113" s="26">
        <v>30161.0666666666</v>
      </c>
      <c r="G113" s="23" t="s">
        <v>35</v>
      </c>
      <c r="H113" s="23">
        <v>10</v>
      </c>
    </row>
    <row r="114" spans="1:8" x14ac:dyDescent="0.3">
      <c r="A114" s="23" t="s">
        <v>417</v>
      </c>
      <c r="B114" s="23" t="s">
        <v>418</v>
      </c>
      <c r="C114" s="26" t="s">
        <v>419</v>
      </c>
      <c r="D114" s="23" t="s">
        <v>286</v>
      </c>
      <c r="E114" s="23" t="s">
        <v>139</v>
      </c>
      <c r="F114" s="26">
        <v>26760.806060605999</v>
      </c>
      <c r="G114" s="23" t="s">
        <v>84</v>
      </c>
      <c r="H114" s="23">
        <v>20</v>
      </c>
    </row>
    <row r="115" spans="1:8" x14ac:dyDescent="0.3">
      <c r="A115" s="23" t="s">
        <v>420</v>
      </c>
      <c r="B115" s="23" t="s">
        <v>421</v>
      </c>
      <c r="C115" s="26" t="s">
        <v>422</v>
      </c>
      <c r="D115" s="23" t="s">
        <v>143</v>
      </c>
      <c r="E115" s="23" t="s">
        <v>144</v>
      </c>
      <c r="F115" s="26">
        <v>23360.545454545401</v>
      </c>
      <c r="G115" s="23" t="s">
        <v>30</v>
      </c>
      <c r="H115" s="23">
        <v>20</v>
      </c>
    </row>
    <row r="116" spans="1:8" x14ac:dyDescent="0.3">
      <c r="A116" s="23" t="s">
        <v>423</v>
      </c>
      <c r="B116" s="23" t="s">
        <v>424</v>
      </c>
      <c r="C116" s="26">
        <v>5085559556</v>
      </c>
      <c r="D116" s="23" t="s">
        <v>291</v>
      </c>
      <c r="E116" s="23" t="s">
        <v>34</v>
      </c>
      <c r="F116" s="26">
        <v>19960.2848484848</v>
      </c>
      <c r="G116" s="23" t="s">
        <v>35</v>
      </c>
      <c r="H116" s="23">
        <v>20</v>
      </c>
    </row>
    <row r="117" spans="1:8" x14ac:dyDescent="0.3">
      <c r="A117" s="23" t="s">
        <v>425</v>
      </c>
      <c r="B117" s="23" t="s">
        <v>426</v>
      </c>
      <c r="C117" s="26" t="s">
        <v>427</v>
      </c>
      <c r="D117" s="23" t="s">
        <v>294</v>
      </c>
      <c r="E117" s="23" t="s">
        <v>152</v>
      </c>
      <c r="F117" s="26">
        <v>16560.024242424199</v>
      </c>
      <c r="G117" s="23" t="s">
        <v>153</v>
      </c>
      <c r="H117" s="23">
        <v>10</v>
      </c>
    </row>
    <row r="118" spans="1:8" x14ac:dyDescent="0.3">
      <c r="A118" s="23" t="s">
        <v>428</v>
      </c>
      <c r="B118" s="23" t="s">
        <v>429</v>
      </c>
      <c r="C118" s="26">
        <v>10375562975</v>
      </c>
      <c r="D118" s="23" t="s">
        <v>297</v>
      </c>
      <c r="E118" s="23" t="s">
        <v>157</v>
      </c>
      <c r="F118" s="26">
        <v>13159.763636363599</v>
      </c>
      <c r="G118" s="23" t="s">
        <v>35</v>
      </c>
      <c r="H118" s="23">
        <v>20</v>
      </c>
    </row>
    <row r="119" spans="1:8" x14ac:dyDescent="0.3">
      <c r="A119" s="23" t="s">
        <v>430</v>
      </c>
      <c r="B119" s="23" t="s">
        <v>431</v>
      </c>
      <c r="C119" s="26">
        <v>14485568685</v>
      </c>
      <c r="D119" s="23" t="s">
        <v>160</v>
      </c>
      <c r="E119" s="23" t="s">
        <v>161</v>
      </c>
      <c r="F119" s="26">
        <v>9759.5030303030308</v>
      </c>
      <c r="G119" s="23" t="s">
        <v>35</v>
      </c>
      <c r="H119" s="23">
        <v>20</v>
      </c>
    </row>
    <row r="120" spans="1:8" x14ac:dyDescent="0.3">
      <c r="A120" s="23" t="s">
        <v>432</v>
      </c>
      <c r="B120" s="23" t="s">
        <v>433</v>
      </c>
      <c r="C120" s="26" t="s">
        <v>434</v>
      </c>
      <c r="D120" s="23" t="s">
        <v>302</v>
      </c>
      <c r="E120" s="23" t="s">
        <v>166</v>
      </c>
      <c r="F120" s="26">
        <v>6359.2424242424304</v>
      </c>
      <c r="G120" s="23" t="s">
        <v>30</v>
      </c>
      <c r="H120" s="23">
        <v>20</v>
      </c>
    </row>
    <row r="121" spans="1:8" x14ac:dyDescent="0.3">
      <c r="A121" s="23" t="s">
        <v>435</v>
      </c>
      <c r="B121" s="23" t="s">
        <v>436</v>
      </c>
      <c r="C121" s="26" t="s">
        <v>437</v>
      </c>
      <c r="D121" s="23" t="s">
        <v>305</v>
      </c>
      <c r="E121" s="23" t="s">
        <v>171</v>
      </c>
      <c r="F121" s="26">
        <v>2958.98181818183</v>
      </c>
      <c r="G121" s="23" t="s">
        <v>172</v>
      </c>
      <c r="H121" s="23">
        <v>20</v>
      </c>
    </row>
    <row r="122" spans="1:8" x14ac:dyDescent="0.3">
      <c r="A122" s="23" t="s">
        <v>438</v>
      </c>
      <c r="B122" s="23" t="s">
        <v>439</v>
      </c>
      <c r="C122" s="26" t="s">
        <v>440</v>
      </c>
      <c r="D122" s="23" t="s">
        <v>176</v>
      </c>
      <c r="E122" s="23" t="s">
        <v>177</v>
      </c>
      <c r="F122" s="26">
        <v>-441.27878787877103</v>
      </c>
      <c r="G122" s="23" t="s">
        <v>57</v>
      </c>
      <c r="H122" s="23">
        <v>10</v>
      </c>
    </row>
    <row r="123" spans="1:8" x14ac:dyDescent="0.3">
      <c r="A123" s="23" t="s">
        <v>441</v>
      </c>
      <c r="B123" s="23" t="s">
        <v>442</v>
      </c>
      <c r="C123" s="26" t="s">
        <v>443</v>
      </c>
      <c r="D123" s="23" t="s">
        <v>310</v>
      </c>
      <c r="E123" s="23" t="s">
        <v>182</v>
      </c>
      <c r="F123" s="26" t="s">
        <v>311</v>
      </c>
      <c r="G123" s="23" t="s">
        <v>184</v>
      </c>
      <c r="H123" s="23">
        <v>20</v>
      </c>
    </row>
    <row r="124" spans="1:8" x14ac:dyDescent="0.3">
      <c r="A124" s="23" t="s">
        <v>444</v>
      </c>
      <c r="B124" s="23" t="s">
        <v>445</v>
      </c>
      <c r="C124" s="29">
        <v>3378877145</v>
      </c>
      <c r="D124" s="23" t="s">
        <v>187</v>
      </c>
      <c r="E124" s="23" t="s">
        <v>188</v>
      </c>
      <c r="F124" s="26">
        <v>118993</v>
      </c>
      <c r="G124" s="23" t="s">
        <v>188</v>
      </c>
      <c r="H124" s="23">
        <v>10</v>
      </c>
    </row>
    <row r="125" spans="1:8" x14ac:dyDescent="0.3">
      <c r="A125" s="23" t="s">
        <v>446</v>
      </c>
      <c r="B125" s="23" t="s">
        <v>447</v>
      </c>
      <c r="C125" s="26">
        <v>4742194940</v>
      </c>
      <c r="D125" s="23" t="s">
        <v>316</v>
      </c>
      <c r="E125" s="23" t="s">
        <v>192</v>
      </c>
      <c r="F125" s="26">
        <v>143967</v>
      </c>
      <c r="G125" s="23" t="s">
        <v>35</v>
      </c>
      <c r="H125" s="23">
        <v>20</v>
      </c>
    </row>
    <row r="126" spans="1:8" x14ac:dyDescent="0.3">
      <c r="A126" s="23" t="s">
        <v>448</v>
      </c>
      <c r="B126" s="23" t="s">
        <v>449</v>
      </c>
      <c r="C126" s="26" t="s">
        <v>450</v>
      </c>
      <c r="D126" s="23" t="s">
        <v>319</v>
      </c>
      <c r="E126" s="23" t="s">
        <v>197</v>
      </c>
      <c r="F126" s="26" t="s">
        <v>320</v>
      </c>
      <c r="G126" s="23" t="s">
        <v>184</v>
      </c>
      <c r="H126" s="23">
        <v>10</v>
      </c>
    </row>
    <row r="127" spans="1:8" x14ac:dyDescent="0.3">
      <c r="A127" s="23" t="s">
        <v>451</v>
      </c>
      <c r="B127" s="23" t="s">
        <v>452</v>
      </c>
      <c r="C127" s="26" t="s">
        <v>453</v>
      </c>
      <c r="D127" s="23" t="s">
        <v>323</v>
      </c>
      <c r="E127" s="23" t="s">
        <v>203</v>
      </c>
      <c r="F127" s="26">
        <v>68827.428571428594</v>
      </c>
      <c r="G127" s="23" t="s">
        <v>115</v>
      </c>
      <c r="H127" s="23">
        <v>20</v>
      </c>
    </row>
    <row r="128" spans="1:8" x14ac:dyDescent="0.3">
      <c r="A128" s="23" t="s">
        <v>454</v>
      </c>
      <c r="B128" s="23" t="s">
        <v>455</v>
      </c>
      <c r="C128" s="26" t="s">
        <v>456</v>
      </c>
      <c r="D128" s="23" t="s">
        <v>326</v>
      </c>
      <c r="E128" s="23" t="s">
        <v>208</v>
      </c>
      <c r="F128" s="26">
        <v>76897.285714285696</v>
      </c>
      <c r="G128" s="23" t="s">
        <v>57</v>
      </c>
      <c r="H128" s="23">
        <v>10</v>
      </c>
    </row>
    <row r="129" spans="1:8" x14ac:dyDescent="0.3">
      <c r="A129" s="23" t="s">
        <v>457</v>
      </c>
      <c r="B129" s="23" t="s">
        <v>458</v>
      </c>
      <c r="C129" s="29">
        <v>652217556</v>
      </c>
      <c r="D129" s="23" t="s">
        <v>211</v>
      </c>
      <c r="E129" s="23" t="s">
        <v>188</v>
      </c>
      <c r="F129" s="26">
        <v>84967.142857142899</v>
      </c>
      <c r="G129" s="23" t="s">
        <v>188</v>
      </c>
      <c r="H129" s="23">
        <v>20</v>
      </c>
    </row>
    <row r="130" spans="1:8" x14ac:dyDescent="0.3">
      <c r="A130" s="23" t="s">
        <v>459</v>
      </c>
      <c r="B130" s="23" t="s">
        <v>460</v>
      </c>
      <c r="C130" s="26" t="s">
        <v>461</v>
      </c>
      <c r="D130" s="23" t="s">
        <v>215</v>
      </c>
      <c r="E130" s="23" t="s">
        <v>216</v>
      </c>
      <c r="F130" s="26">
        <v>93037</v>
      </c>
      <c r="G130" s="23" t="s">
        <v>30</v>
      </c>
      <c r="H130" s="23">
        <v>20</v>
      </c>
    </row>
    <row r="131" spans="1:8" x14ac:dyDescent="0.3">
      <c r="A131" s="23" t="s">
        <v>462</v>
      </c>
      <c r="B131" s="23" t="s">
        <v>463</v>
      </c>
      <c r="C131" s="26" t="s">
        <v>464</v>
      </c>
      <c r="D131" s="23" t="s">
        <v>333</v>
      </c>
      <c r="E131" s="23" t="s">
        <v>221</v>
      </c>
      <c r="F131" s="26">
        <v>101106.857142857</v>
      </c>
      <c r="G131" s="23" t="s">
        <v>30</v>
      </c>
      <c r="H131" s="23">
        <v>20</v>
      </c>
    </row>
    <row r="132" spans="1:8" x14ac:dyDescent="0.3">
      <c r="A132" s="23" t="s">
        <v>465</v>
      </c>
      <c r="B132" s="23" t="s">
        <v>466</v>
      </c>
      <c r="C132" s="26">
        <v>54387000000</v>
      </c>
      <c r="D132" s="23" t="s">
        <v>28</v>
      </c>
      <c r="E132" s="23" t="s">
        <v>29</v>
      </c>
      <c r="F132" s="26">
        <v>109176.714285714</v>
      </c>
      <c r="G132" s="23" t="s">
        <v>30</v>
      </c>
      <c r="H132" s="23">
        <v>10</v>
      </c>
    </row>
    <row r="133" spans="1:8" x14ac:dyDescent="0.3">
      <c r="A133" s="23" t="s">
        <v>467</v>
      </c>
      <c r="B133" s="23" t="s">
        <v>468</v>
      </c>
      <c r="C133" s="26">
        <v>55424220000</v>
      </c>
      <c r="D133" s="23" t="s">
        <v>338</v>
      </c>
      <c r="E133" s="23" t="s">
        <v>34</v>
      </c>
      <c r="F133" s="26">
        <v>117246.571428572</v>
      </c>
      <c r="G133" s="23" t="s">
        <v>35</v>
      </c>
      <c r="H133" s="23">
        <v>30</v>
      </c>
    </row>
    <row r="134" spans="1:8" x14ac:dyDescent="0.3">
      <c r="A134" s="23" t="s">
        <v>469</v>
      </c>
      <c r="B134" s="23" t="s">
        <v>470</v>
      </c>
      <c r="C134" s="26">
        <v>56461440000</v>
      </c>
      <c r="D134" s="23" t="s">
        <v>39</v>
      </c>
      <c r="E134" s="23" t="s">
        <v>40</v>
      </c>
      <c r="F134" s="26" t="s">
        <v>41</v>
      </c>
      <c r="G134" s="23" t="s">
        <v>42</v>
      </c>
      <c r="H134" s="23">
        <v>10</v>
      </c>
    </row>
    <row r="135" spans="1:8" x14ac:dyDescent="0.3">
      <c r="A135" s="23" t="s">
        <v>471</v>
      </c>
      <c r="B135" s="23" t="s">
        <v>472</v>
      </c>
      <c r="C135" s="26">
        <v>57498660000</v>
      </c>
      <c r="D135" s="23" t="s">
        <v>343</v>
      </c>
      <c r="E135" s="23" t="s">
        <v>47</v>
      </c>
      <c r="F135" s="26">
        <v>-35457.333333333299</v>
      </c>
      <c r="G135" s="23" t="s">
        <v>48</v>
      </c>
      <c r="H135" s="23">
        <v>10</v>
      </c>
    </row>
    <row r="136" spans="1:8" x14ac:dyDescent="0.3">
      <c r="A136" s="23" t="s">
        <v>473</v>
      </c>
      <c r="B136" s="23" t="s">
        <v>474</v>
      </c>
      <c r="C136" s="26">
        <v>58535880000</v>
      </c>
      <c r="D136" s="23" t="s">
        <v>346</v>
      </c>
      <c r="E136" s="23" t="s">
        <v>52</v>
      </c>
      <c r="F136" s="26">
        <v>-48444.333333333299</v>
      </c>
      <c r="G136" s="23" t="s">
        <v>35</v>
      </c>
      <c r="H136" s="23">
        <v>20</v>
      </c>
    </row>
    <row r="137" spans="1:8" x14ac:dyDescent="0.3">
      <c r="A137" s="23" t="s">
        <v>475</v>
      </c>
      <c r="B137" s="23" t="s">
        <v>476</v>
      </c>
      <c r="C137" s="26">
        <v>59573100000</v>
      </c>
      <c r="D137" s="23" t="s">
        <v>349</v>
      </c>
      <c r="E137" s="23" t="s">
        <v>56</v>
      </c>
      <c r="F137" s="26">
        <v>-61431.333333333299</v>
      </c>
      <c r="G137" s="23" t="s">
        <v>57</v>
      </c>
      <c r="H137" s="23">
        <v>20</v>
      </c>
    </row>
    <row r="138" spans="1:8" x14ac:dyDescent="0.3">
      <c r="A138" s="23" t="s">
        <v>477</v>
      </c>
      <c r="B138" s="23" t="s">
        <v>478</v>
      </c>
      <c r="C138" s="26">
        <v>60610320000</v>
      </c>
      <c r="D138" s="23" t="s">
        <v>352</v>
      </c>
      <c r="E138" s="23" t="s">
        <v>62</v>
      </c>
      <c r="F138" s="26" t="s">
        <v>353</v>
      </c>
      <c r="G138" s="23" t="s">
        <v>64</v>
      </c>
      <c r="H138" s="23">
        <v>10</v>
      </c>
    </row>
    <row r="139" spans="1:8" x14ac:dyDescent="0.3">
      <c r="A139" s="23" t="s">
        <v>479</v>
      </c>
      <c r="B139" s="23" t="s">
        <v>480</v>
      </c>
      <c r="C139" s="26">
        <v>61647540000</v>
      </c>
      <c r="D139" s="23" t="s">
        <v>356</v>
      </c>
      <c r="E139" s="23" t="s">
        <v>69</v>
      </c>
      <c r="F139" s="26">
        <v>132181.32142857101</v>
      </c>
      <c r="G139" s="23" t="s">
        <v>57</v>
      </c>
      <c r="H139" s="23">
        <v>10</v>
      </c>
    </row>
    <row r="140" spans="1:8" x14ac:dyDescent="0.3">
      <c r="A140" s="23" t="s">
        <v>481</v>
      </c>
      <c r="B140" s="23" t="s">
        <v>482</v>
      </c>
      <c r="C140" s="26">
        <v>62684760000</v>
      </c>
      <c r="D140" s="23" t="s">
        <v>73</v>
      </c>
      <c r="E140" s="23" t="s">
        <v>74</v>
      </c>
      <c r="F140" s="26">
        <v>137909.85714285701</v>
      </c>
      <c r="G140" s="23" t="s">
        <v>30</v>
      </c>
      <c r="H140" s="23">
        <v>30</v>
      </c>
    </row>
    <row r="141" spans="1:8" x14ac:dyDescent="0.3">
      <c r="A141" s="23" t="s">
        <v>483</v>
      </c>
      <c r="B141" s="23" t="s">
        <v>484</v>
      </c>
      <c r="C141" s="26">
        <v>63721980000</v>
      </c>
      <c r="D141" s="23" t="s">
        <v>361</v>
      </c>
      <c r="E141" s="23" t="s">
        <v>78</v>
      </c>
      <c r="F141" s="26">
        <v>143638.39285714299</v>
      </c>
      <c r="G141" s="23" t="s">
        <v>35</v>
      </c>
      <c r="H141" s="23">
        <v>20</v>
      </c>
    </row>
    <row r="142" spans="1:8" x14ac:dyDescent="0.3">
      <c r="A142" s="23" t="s">
        <v>485</v>
      </c>
      <c r="B142" s="23" t="s">
        <v>486</v>
      </c>
      <c r="C142" s="26">
        <v>64759200000</v>
      </c>
      <c r="D142" s="23" t="s">
        <v>364</v>
      </c>
      <c r="E142" s="23" t="s">
        <v>83</v>
      </c>
      <c r="F142" s="26">
        <v>149366.928571428</v>
      </c>
      <c r="G142" s="23" t="s">
        <v>84</v>
      </c>
      <c r="H142" s="23">
        <v>10</v>
      </c>
    </row>
    <row r="143" spans="1:8" x14ac:dyDescent="0.3">
      <c r="A143" s="23" t="s">
        <v>487</v>
      </c>
      <c r="B143" s="23" t="s">
        <v>488</v>
      </c>
      <c r="C143" s="26">
        <v>65796420000</v>
      </c>
      <c r="D143" s="23" t="s">
        <v>489</v>
      </c>
      <c r="E143" s="23" t="s">
        <v>74</v>
      </c>
      <c r="F143" s="26">
        <v>155095.464285714</v>
      </c>
      <c r="G143" s="23" t="s">
        <v>30</v>
      </c>
      <c r="H143" s="23">
        <v>20</v>
      </c>
    </row>
    <row r="144" spans="1:8" x14ac:dyDescent="0.3">
      <c r="A144" s="23" t="s">
        <v>490</v>
      </c>
      <c r="B144" s="23" t="s">
        <v>491</v>
      </c>
      <c r="C144" s="26">
        <v>66833640000</v>
      </c>
      <c r="D144" s="23" t="s">
        <v>492</v>
      </c>
      <c r="E144" s="23" t="s">
        <v>92</v>
      </c>
      <c r="F144" s="26">
        <v>160824</v>
      </c>
      <c r="G144" s="23" t="s">
        <v>35</v>
      </c>
      <c r="H144" s="23">
        <v>20</v>
      </c>
    </row>
    <row r="145" spans="1:8" x14ac:dyDescent="0.3">
      <c r="A145" s="23" t="s">
        <v>493</v>
      </c>
      <c r="B145" s="23" t="s">
        <v>494</v>
      </c>
      <c r="C145" s="26">
        <v>67870860000</v>
      </c>
      <c r="D145" s="23" t="s">
        <v>495</v>
      </c>
      <c r="E145" s="23" t="s">
        <v>96</v>
      </c>
      <c r="F145" s="26">
        <v>166552.53571428501</v>
      </c>
      <c r="G145" s="23" t="s">
        <v>35</v>
      </c>
      <c r="H145" s="23">
        <v>10</v>
      </c>
    </row>
    <row r="146" spans="1:8" x14ac:dyDescent="0.3">
      <c r="A146" s="23" t="s">
        <v>496</v>
      </c>
      <c r="B146" s="23" t="s">
        <v>497</v>
      </c>
      <c r="C146" s="26">
        <v>68908080000</v>
      </c>
      <c r="D146" s="23" t="s">
        <v>100</v>
      </c>
      <c r="E146" s="23" t="s">
        <v>101</v>
      </c>
      <c r="F146" s="26" t="s">
        <v>498</v>
      </c>
      <c r="G146" s="23" t="s">
        <v>84</v>
      </c>
      <c r="H146" s="23">
        <v>20</v>
      </c>
    </row>
    <row r="147" spans="1:8" x14ac:dyDescent="0.3">
      <c r="A147" s="23" t="s">
        <v>499</v>
      </c>
      <c r="B147" s="23" t="s">
        <v>500</v>
      </c>
      <c r="C147" s="26">
        <v>69945300000</v>
      </c>
      <c r="D147" s="23" t="s">
        <v>501</v>
      </c>
      <c r="E147" s="23" t="s">
        <v>107</v>
      </c>
      <c r="F147" s="26" t="s">
        <v>502</v>
      </c>
      <c r="G147" s="23" t="s">
        <v>109</v>
      </c>
      <c r="H147" s="23">
        <v>20</v>
      </c>
    </row>
    <row r="148" spans="1:8" x14ac:dyDescent="0.3">
      <c r="A148" s="23" t="s">
        <v>503</v>
      </c>
      <c r="B148" s="23" t="s">
        <v>504</v>
      </c>
      <c r="C148" s="26">
        <v>70982520000</v>
      </c>
      <c r="D148" s="23" t="s">
        <v>505</v>
      </c>
      <c r="E148" s="23" t="s">
        <v>114</v>
      </c>
      <c r="F148" s="26">
        <v>298069.66666666698</v>
      </c>
      <c r="G148" s="23" t="s">
        <v>115</v>
      </c>
      <c r="H148" s="23">
        <v>20</v>
      </c>
    </row>
    <row r="149" spans="1:8" x14ac:dyDescent="0.3">
      <c r="A149" s="23" t="s">
        <v>506</v>
      </c>
      <c r="B149" s="23" t="s">
        <v>507</v>
      </c>
      <c r="C149" s="26">
        <v>72019740000</v>
      </c>
      <c r="D149" s="23" t="s">
        <v>508</v>
      </c>
      <c r="E149" s="23" t="s">
        <v>119</v>
      </c>
      <c r="F149" s="26">
        <v>344340.66666666698</v>
      </c>
      <c r="G149" s="23" t="s">
        <v>35</v>
      </c>
      <c r="H149" s="23">
        <v>20</v>
      </c>
    </row>
    <row r="150" spans="1:8" x14ac:dyDescent="0.3">
      <c r="A150" s="23" t="s">
        <v>509</v>
      </c>
      <c r="B150" s="23" t="s">
        <v>510</v>
      </c>
      <c r="C150" s="26">
        <v>73056960000</v>
      </c>
      <c r="D150" s="23" t="s">
        <v>511</v>
      </c>
      <c r="E150" s="23" t="s">
        <v>123</v>
      </c>
      <c r="F150" s="26">
        <v>390611.66666666698</v>
      </c>
      <c r="G150" s="23" t="s">
        <v>35</v>
      </c>
      <c r="H150" s="23">
        <v>10</v>
      </c>
    </row>
    <row r="151" spans="1:8" x14ac:dyDescent="0.3">
      <c r="A151" s="23" t="s">
        <v>512</v>
      </c>
      <c r="B151" s="23" t="s">
        <v>513</v>
      </c>
      <c r="C151" s="26">
        <v>74094180000</v>
      </c>
      <c r="D151" s="23" t="s">
        <v>127</v>
      </c>
      <c r="E151" s="23" t="s">
        <v>128</v>
      </c>
      <c r="F151" s="26" t="s">
        <v>514</v>
      </c>
      <c r="G151" s="23" t="s">
        <v>130</v>
      </c>
      <c r="H151" s="23">
        <v>10</v>
      </c>
    </row>
    <row r="152" spans="1:8" x14ac:dyDescent="0.3">
      <c r="A152" s="23" t="s">
        <v>515</v>
      </c>
      <c r="B152" s="23" t="s">
        <v>516</v>
      </c>
      <c r="C152" s="26">
        <v>75131400000</v>
      </c>
      <c r="D152" s="23" t="s">
        <v>517</v>
      </c>
      <c r="E152" s="23" t="s">
        <v>134</v>
      </c>
      <c r="F152" s="26">
        <v>-3841.5393939393998</v>
      </c>
      <c r="G152" s="23" t="s">
        <v>35</v>
      </c>
      <c r="H152" s="23">
        <v>10</v>
      </c>
    </row>
    <row r="153" spans="1:8" x14ac:dyDescent="0.3">
      <c r="A153" s="23" t="s">
        <v>518</v>
      </c>
      <c r="B153" s="23" t="s">
        <v>519</v>
      </c>
      <c r="C153" s="26">
        <v>76168620000</v>
      </c>
      <c r="D153" s="23" t="s">
        <v>520</v>
      </c>
      <c r="E153" s="23" t="s">
        <v>139</v>
      </c>
      <c r="F153" s="26">
        <v>-7241.8</v>
      </c>
      <c r="G153" s="23" t="s">
        <v>84</v>
      </c>
      <c r="H153" s="23">
        <v>20</v>
      </c>
    </row>
    <row r="154" spans="1:8" x14ac:dyDescent="0.3">
      <c r="A154" s="23" t="s">
        <v>521</v>
      </c>
      <c r="B154" s="23" t="s">
        <v>522</v>
      </c>
      <c r="C154" s="26">
        <v>77205840000</v>
      </c>
      <c r="D154" s="23" t="s">
        <v>143</v>
      </c>
      <c r="E154" s="23" t="s">
        <v>144</v>
      </c>
      <c r="F154" s="26">
        <v>-10642.060606060601</v>
      </c>
      <c r="G154" s="23" t="s">
        <v>30</v>
      </c>
      <c r="H154" s="23">
        <v>10</v>
      </c>
    </row>
    <row r="155" spans="1:8" x14ac:dyDescent="0.3">
      <c r="A155" s="23" t="s">
        <v>523</v>
      </c>
      <c r="B155" s="23" t="s">
        <v>524</v>
      </c>
      <c r="C155" s="26">
        <v>78243060000</v>
      </c>
      <c r="D155" s="23" t="s">
        <v>525</v>
      </c>
      <c r="E155" s="23" t="s">
        <v>34</v>
      </c>
      <c r="F155" s="26">
        <v>-14042.3212121212</v>
      </c>
      <c r="G155" s="23" t="s">
        <v>35</v>
      </c>
      <c r="H155" s="23">
        <v>10</v>
      </c>
    </row>
    <row r="156" spans="1:8" x14ac:dyDescent="0.3">
      <c r="A156" s="23" t="s">
        <v>526</v>
      </c>
      <c r="B156" s="23" t="s">
        <v>527</v>
      </c>
      <c r="C156" s="26">
        <v>79280280000</v>
      </c>
      <c r="D156" s="23" t="s">
        <v>528</v>
      </c>
      <c r="E156" s="23" t="s">
        <v>152</v>
      </c>
      <c r="F156" s="26">
        <v>-17442.581818181799</v>
      </c>
      <c r="G156" s="23" t="s">
        <v>153</v>
      </c>
      <c r="H156" s="23">
        <v>20</v>
      </c>
    </row>
    <row r="157" spans="1:8" x14ac:dyDescent="0.3">
      <c r="A157" s="23" t="s">
        <v>529</v>
      </c>
      <c r="B157" s="23" t="s">
        <v>530</v>
      </c>
      <c r="C157" s="26">
        <v>80317500000</v>
      </c>
      <c r="D157" s="23" t="s">
        <v>531</v>
      </c>
      <c r="E157" s="23" t="s">
        <v>157</v>
      </c>
      <c r="F157" s="26">
        <v>-20842.842424242401</v>
      </c>
      <c r="G157" s="23" t="s">
        <v>35</v>
      </c>
      <c r="H157" s="23">
        <v>20</v>
      </c>
    </row>
    <row r="158" spans="1:8" x14ac:dyDescent="0.3">
      <c r="A158" s="23" t="s">
        <v>532</v>
      </c>
      <c r="B158" s="23" t="s">
        <v>533</v>
      </c>
      <c r="C158" s="26">
        <v>81354720000</v>
      </c>
      <c r="D158" s="23" t="s">
        <v>160</v>
      </c>
      <c r="E158" s="23" t="s">
        <v>161</v>
      </c>
      <c r="F158" s="26">
        <v>-24243.103030302998</v>
      </c>
      <c r="G158" s="23" t="s">
        <v>35</v>
      </c>
      <c r="H158" s="23">
        <v>10</v>
      </c>
    </row>
    <row r="159" spans="1:8" x14ac:dyDescent="0.3">
      <c r="A159" s="23" t="s">
        <v>534</v>
      </c>
      <c r="B159" s="23" t="s">
        <v>535</v>
      </c>
      <c r="C159" s="26">
        <v>82391940000</v>
      </c>
      <c r="D159" s="23" t="s">
        <v>536</v>
      </c>
      <c r="E159" s="23" t="s">
        <v>166</v>
      </c>
      <c r="F159" s="26">
        <v>-27643.3636363636</v>
      </c>
      <c r="G159" s="23" t="s">
        <v>30</v>
      </c>
      <c r="H159" s="23">
        <v>10</v>
      </c>
    </row>
    <row r="160" spans="1:8" x14ac:dyDescent="0.3">
      <c r="A160" s="23" t="s">
        <v>537</v>
      </c>
      <c r="B160" s="23" t="s">
        <v>538</v>
      </c>
      <c r="C160" s="26">
        <v>83429160000</v>
      </c>
      <c r="D160" s="23" t="s">
        <v>539</v>
      </c>
      <c r="E160" s="23" t="s">
        <v>171</v>
      </c>
      <c r="F160" s="26">
        <v>-31043.624242424201</v>
      </c>
      <c r="G160" s="23" t="s">
        <v>172</v>
      </c>
      <c r="H160" s="23">
        <v>10</v>
      </c>
    </row>
    <row r="161" spans="1:8" x14ac:dyDescent="0.3">
      <c r="A161" s="23" t="s">
        <v>540</v>
      </c>
      <c r="B161" s="23" t="s">
        <v>541</v>
      </c>
      <c r="C161" s="26">
        <v>84466380000</v>
      </c>
      <c r="D161" s="23" t="s">
        <v>176</v>
      </c>
      <c r="E161" s="23" t="s">
        <v>177</v>
      </c>
      <c r="F161" s="26">
        <v>-34443.884848484799</v>
      </c>
      <c r="G161" s="23" t="s">
        <v>57</v>
      </c>
      <c r="H161" s="23">
        <v>20</v>
      </c>
    </row>
    <row r="162" spans="1:8" x14ac:dyDescent="0.3">
      <c r="A162" s="23" t="s">
        <v>542</v>
      </c>
      <c r="B162" s="23" t="s">
        <v>543</v>
      </c>
      <c r="C162" s="26">
        <v>85503600000</v>
      </c>
      <c r="D162" s="23" t="s">
        <v>544</v>
      </c>
      <c r="E162" s="23" t="s">
        <v>182</v>
      </c>
      <c r="F162" s="26" t="s">
        <v>545</v>
      </c>
      <c r="G162" s="23" t="s">
        <v>184</v>
      </c>
      <c r="H162" s="23">
        <v>20</v>
      </c>
    </row>
    <row r="163" spans="1:8" x14ac:dyDescent="0.3">
      <c r="A163" s="23" t="s">
        <v>546</v>
      </c>
      <c r="B163" s="23" t="s">
        <v>547</v>
      </c>
      <c r="C163" s="26">
        <v>86540820000</v>
      </c>
      <c r="D163" s="23" t="s">
        <v>187</v>
      </c>
      <c r="E163" s="23" t="s">
        <v>188</v>
      </c>
      <c r="F163" s="26">
        <v>168941</v>
      </c>
      <c r="G163" s="23" t="s">
        <v>188</v>
      </c>
      <c r="H163" s="23">
        <v>10</v>
      </c>
    </row>
    <row r="164" spans="1:8" x14ac:dyDescent="0.3">
      <c r="A164" s="23" t="s">
        <v>548</v>
      </c>
      <c r="B164" s="23" t="s">
        <v>549</v>
      </c>
      <c r="C164" s="26">
        <v>87578040000</v>
      </c>
      <c r="D164" s="23" t="s">
        <v>550</v>
      </c>
      <c r="E164" s="23" t="s">
        <v>192</v>
      </c>
      <c r="F164" s="26">
        <v>193915</v>
      </c>
      <c r="G164" s="23" t="s">
        <v>35</v>
      </c>
      <c r="H164" s="23">
        <v>10</v>
      </c>
    </row>
    <row r="165" spans="1:8" x14ac:dyDescent="0.3">
      <c r="A165" s="23" t="s">
        <v>551</v>
      </c>
      <c r="B165" s="23" t="s">
        <v>552</v>
      </c>
      <c r="C165" s="26">
        <v>88615260000</v>
      </c>
      <c r="D165" s="23" t="s">
        <v>553</v>
      </c>
      <c r="E165" s="23" t="s">
        <v>197</v>
      </c>
      <c r="F165" s="26" t="s">
        <v>554</v>
      </c>
      <c r="G165" s="23" t="s">
        <v>184</v>
      </c>
      <c r="H165" s="23">
        <v>20</v>
      </c>
    </row>
    <row r="166" spans="1:8" x14ac:dyDescent="0.3">
      <c r="A166" s="23" t="s">
        <v>555</v>
      </c>
      <c r="B166" s="23" t="s">
        <v>556</v>
      </c>
      <c r="C166" s="26">
        <v>89652480000</v>
      </c>
      <c r="D166" s="23" t="s">
        <v>557</v>
      </c>
      <c r="E166" s="23" t="s">
        <v>203</v>
      </c>
      <c r="F166" s="26">
        <v>81933.428571428594</v>
      </c>
      <c r="G166" s="23" t="s">
        <v>115</v>
      </c>
      <c r="H166" s="23">
        <v>20</v>
      </c>
    </row>
    <row r="167" spans="1:8" x14ac:dyDescent="0.3">
      <c r="A167" s="23" t="s">
        <v>558</v>
      </c>
      <c r="B167" s="23" t="s">
        <v>559</v>
      </c>
      <c r="C167" s="26">
        <v>90689700000</v>
      </c>
      <c r="D167" s="23" t="s">
        <v>560</v>
      </c>
      <c r="E167" s="23" t="s">
        <v>208</v>
      </c>
      <c r="F167" s="26">
        <v>87358.107142857203</v>
      </c>
      <c r="G167" s="23" t="s">
        <v>57</v>
      </c>
      <c r="H167" s="23">
        <v>10</v>
      </c>
    </row>
    <row r="168" spans="1:8" x14ac:dyDescent="0.3">
      <c r="A168" s="23" t="s">
        <v>561</v>
      </c>
      <c r="B168" s="23" t="s">
        <v>562</v>
      </c>
      <c r="C168" s="26">
        <v>91726920000</v>
      </c>
      <c r="D168" s="23" t="s">
        <v>211</v>
      </c>
      <c r="E168" s="23" t="s">
        <v>188</v>
      </c>
      <c r="F168" s="26">
        <v>92782.785714285696</v>
      </c>
      <c r="G168" s="23" t="s">
        <v>188</v>
      </c>
      <c r="H168" s="23">
        <v>10</v>
      </c>
    </row>
    <row r="169" spans="1:8" x14ac:dyDescent="0.3">
      <c r="A169" s="23" t="s">
        <v>563</v>
      </c>
      <c r="B169" s="23" t="s">
        <v>564</v>
      </c>
      <c r="C169" s="26">
        <v>92764140000</v>
      </c>
      <c r="D169" s="23" t="s">
        <v>215</v>
      </c>
      <c r="E169" s="23" t="s">
        <v>216</v>
      </c>
      <c r="F169" s="26">
        <v>98207.464285714304</v>
      </c>
      <c r="G169" s="23" t="s">
        <v>30</v>
      </c>
      <c r="H169" s="23">
        <v>10</v>
      </c>
    </row>
    <row r="170" spans="1:8" x14ac:dyDescent="0.3">
      <c r="A170" s="23" t="s">
        <v>565</v>
      </c>
      <c r="B170" s="23" t="s">
        <v>566</v>
      </c>
      <c r="C170" s="26">
        <v>93801360000</v>
      </c>
      <c r="D170" s="23" t="s">
        <v>567</v>
      </c>
      <c r="E170" s="23" t="s">
        <v>221</v>
      </c>
      <c r="F170" s="26">
        <v>103632.142857143</v>
      </c>
      <c r="G170" s="23" t="s">
        <v>30</v>
      </c>
      <c r="H170" s="23">
        <v>20</v>
      </c>
    </row>
    <row r="171" spans="1:8" x14ac:dyDescent="0.3">
      <c r="A171" s="23" t="s">
        <v>568</v>
      </c>
      <c r="B171" s="23" t="s">
        <v>569</v>
      </c>
      <c r="C171" s="26">
        <v>94838580000</v>
      </c>
      <c r="D171" s="23" t="s">
        <v>28</v>
      </c>
      <c r="E171" s="23" t="s">
        <v>29</v>
      </c>
      <c r="F171" s="26">
        <v>109056.821428571</v>
      </c>
      <c r="G171" s="23" t="s">
        <v>30</v>
      </c>
      <c r="H171" s="23">
        <v>30</v>
      </c>
    </row>
    <row r="172" spans="1:8" x14ac:dyDescent="0.3">
      <c r="A172" s="23" t="s">
        <v>570</v>
      </c>
      <c r="B172" s="23" t="s">
        <v>571</v>
      </c>
      <c r="C172" s="26">
        <v>95875800000</v>
      </c>
      <c r="D172" s="23" t="s">
        <v>572</v>
      </c>
      <c r="E172" s="23" t="s">
        <v>34</v>
      </c>
      <c r="F172" s="26">
        <v>114481.5</v>
      </c>
      <c r="G172" s="23" t="s">
        <v>35</v>
      </c>
      <c r="H172" s="23">
        <v>20</v>
      </c>
    </row>
    <row r="173" spans="1:8" x14ac:dyDescent="0.3">
      <c r="A173" s="23" t="s">
        <v>573</v>
      </c>
      <c r="B173" s="23" t="s">
        <v>574</v>
      </c>
      <c r="C173" s="26">
        <v>96913020000</v>
      </c>
      <c r="D173" s="23" t="s">
        <v>39</v>
      </c>
      <c r="E173" s="23" t="s">
        <v>40</v>
      </c>
      <c r="F173" s="26" t="s">
        <v>41</v>
      </c>
      <c r="G173" s="23" t="s">
        <v>42</v>
      </c>
      <c r="H173" s="23">
        <v>10</v>
      </c>
    </row>
    <row r="174" spans="1:8" x14ac:dyDescent="0.3">
      <c r="A174" s="23" t="s">
        <v>575</v>
      </c>
      <c r="B174" s="23" t="s">
        <v>576</v>
      </c>
      <c r="C174" s="26">
        <v>97950240000</v>
      </c>
      <c r="D174" s="23" t="s">
        <v>577</v>
      </c>
      <c r="E174" s="23" t="s">
        <v>47</v>
      </c>
      <c r="F174" s="26">
        <v>-74418.333333333299</v>
      </c>
      <c r="G174" s="23" t="s">
        <v>48</v>
      </c>
      <c r="H174" s="23">
        <v>20</v>
      </c>
    </row>
    <row r="175" spans="1:8" x14ac:dyDescent="0.3">
      <c r="A175" s="23" t="s">
        <v>578</v>
      </c>
      <c r="B175" s="23" t="s">
        <v>579</v>
      </c>
      <c r="C175" s="26">
        <v>98987460000</v>
      </c>
      <c r="D175" s="23" t="s">
        <v>580</v>
      </c>
      <c r="E175" s="23" t="s">
        <v>52</v>
      </c>
      <c r="F175" s="26">
        <v>-87405.333333333299</v>
      </c>
      <c r="G175" s="23" t="s">
        <v>35</v>
      </c>
      <c r="H175" s="23">
        <v>20</v>
      </c>
    </row>
    <row r="176" spans="1:8" x14ac:dyDescent="0.3">
      <c r="A176" s="23" t="s">
        <v>581</v>
      </c>
      <c r="B176" s="23" t="s">
        <v>582</v>
      </c>
      <c r="C176" s="26">
        <v>100024680000</v>
      </c>
      <c r="D176" s="23" t="s">
        <v>583</v>
      </c>
      <c r="E176" s="23" t="s">
        <v>56</v>
      </c>
      <c r="F176" s="26">
        <v>-100392.33333333299</v>
      </c>
      <c r="G176" s="23" t="s">
        <v>57</v>
      </c>
      <c r="H176" s="23">
        <v>20</v>
      </c>
    </row>
    <row r="177" spans="1:8" x14ac:dyDescent="0.3">
      <c r="A177" s="23" t="s">
        <v>584</v>
      </c>
      <c r="B177" s="23" t="s">
        <v>585</v>
      </c>
      <c r="C177" s="26">
        <v>101061900000</v>
      </c>
      <c r="D177" s="23" t="s">
        <v>586</v>
      </c>
      <c r="E177" s="23" t="s">
        <v>62</v>
      </c>
      <c r="F177" s="26" t="s">
        <v>587</v>
      </c>
      <c r="G177" s="23" t="s">
        <v>64</v>
      </c>
      <c r="H177" s="23">
        <v>10</v>
      </c>
    </row>
    <row r="178" spans="1:8" x14ac:dyDescent="0.3">
      <c r="A178" s="23" t="s">
        <v>588</v>
      </c>
      <c r="B178" s="23" t="s">
        <v>589</v>
      </c>
      <c r="C178" s="26">
        <v>102099120000</v>
      </c>
      <c r="D178" s="23" t="s">
        <v>590</v>
      </c>
      <c r="E178" s="23" t="s">
        <v>69</v>
      </c>
      <c r="F178" s="26">
        <v>155095.46428571499</v>
      </c>
      <c r="G178" s="23" t="s">
        <v>57</v>
      </c>
      <c r="H178" s="23">
        <v>20</v>
      </c>
    </row>
    <row r="179" spans="1:8" x14ac:dyDescent="0.3">
      <c r="A179" s="23" t="s">
        <v>591</v>
      </c>
      <c r="B179" s="23" t="s">
        <v>592</v>
      </c>
      <c r="C179" s="26">
        <v>103136340000</v>
      </c>
      <c r="D179" s="23" t="s">
        <v>73</v>
      </c>
      <c r="E179" s="23" t="s">
        <v>74</v>
      </c>
      <c r="F179" s="26">
        <v>160824.00000000099</v>
      </c>
      <c r="G179" s="23" t="s">
        <v>30</v>
      </c>
      <c r="H179" s="23">
        <v>20</v>
      </c>
    </row>
    <row r="180" spans="1:8" x14ac:dyDescent="0.3">
      <c r="A180" s="23" t="s">
        <v>593</v>
      </c>
      <c r="B180" s="23" t="s">
        <v>594</v>
      </c>
      <c r="C180" s="26">
        <v>104173560000</v>
      </c>
      <c r="D180" s="23" t="s">
        <v>595</v>
      </c>
      <c r="E180" s="23" t="s">
        <v>78</v>
      </c>
      <c r="F180" s="26">
        <v>166552.53571428699</v>
      </c>
      <c r="G180" s="23" t="s">
        <v>35</v>
      </c>
      <c r="H180" s="23">
        <v>30</v>
      </c>
    </row>
    <row r="181" spans="1:8" x14ac:dyDescent="0.3">
      <c r="A181" s="23" t="s">
        <v>596</v>
      </c>
      <c r="B181" s="23" t="s">
        <v>597</v>
      </c>
      <c r="C181" s="26">
        <v>105210780000</v>
      </c>
      <c r="D181" s="23" t="s">
        <v>598</v>
      </c>
      <c r="E181" s="23" t="s">
        <v>83</v>
      </c>
      <c r="F181" s="26">
        <v>172281.07142857299</v>
      </c>
      <c r="G181" s="23" t="s">
        <v>84</v>
      </c>
      <c r="H181" s="23">
        <v>20</v>
      </c>
    </row>
    <row r="182" spans="1:8" x14ac:dyDescent="0.3">
      <c r="A182" s="23" t="s">
        <v>599</v>
      </c>
      <c r="B182" s="23" t="s">
        <v>600</v>
      </c>
      <c r="C182" s="26" t="s">
        <v>601</v>
      </c>
      <c r="D182" s="23" t="s">
        <v>28</v>
      </c>
      <c r="E182" s="23" t="s">
        <v>29</v>
      </c>
      <c r="F182" s="26">
        <v>70212</v>
      </c>
      <c r="G182" s="23" t="s">
        <v>30</v>
      </c>
      <c r="H182" s="23">
        <v>10</v>
      </c>
    </row>
    <row r="183" spans="1:8" x14ac:dyDescent="0.3">
      <c r="A183" s="23" t="s">
        <v>602</v>
      </c>
      <c r="B183" s="23" t="s">
        <v>603</v>
      </c>
      <c r="C183" s="26">
        <v>5085552557</v>
      </c>
      <c r="D183" s="23" t="s">
        <v>338</v>
      </c>
      <c r="E183" s="23" t="s">
        <v>34</v>
      </c>
      <c r="F183" s="26">
        <v>76765</v>
      </c>
      <c r="G183" s="23" t="s">
        <v>35</v>
      </c>
      <c r="H183" s="23">
        <v>10</v>
      </c>
    </row>
    <row r="184" spans="1:8" x14ac:dyDescent="0.3">
      <c r="A184" s="23" t="s">
        <v>604</v>
      </c>
      <c r="B184" s="23" t="s">
        <v>605</v>
      </c>
      <c r="C184" s="26" t="s">
        <v>606</v>
      </c>
      <c r="D184" s="23" t="s">
        <v>39</v>
      </c>
      <c r="E184" s="23" t="s">
        <v>40</v>
      </c>
      <c r="F184" s="26" t="s">
        <v>41</v>
      </c>
      <c r="G184" s="23" t="s">
        <v>42</v>
      </c>
      <c r="H184" s="23">
        <v>10</v>
      </c>
    </row>
    <row r="185" spans="1:8" x14ac:dyDescent="0.3">
      <c r="A185" s="23" t="s">
        <v>607</v>
      </c>
      <c r="B185" s="23" t="s">
        <v>608</v>
      </c>
      <c r="C185" s="26" t="s">
        <v>609</v>
      </c>
      <c r="D185" s="23" t="s">
        <v>343</v>
      </c>
      <c r="E185" s="23" t="s">
        <v>47</v>
      </c>
      <c r="F185" s="26">
        <v>-35457.333333333299</v>
      </c>
      <c r="G185" s="23" t="s">
        <v>48</v>
      </c>
      <c r="H185" s="23">
        <v>10</v>
      </c>
    </row>
    <row r="186" spans="1:8" x14ac:dyDescent="0.3">
      <c r="A186" s="23" t="s">
        <v>610</v>
      </c>
      <c r="B186" s="23" t="s">
        <v>611</v>
      </c>
      <c r="C186" s="26">
        <v>-17329201445</v>
      </c>
      <c r="D186" s="23" t="s">
        <v>346</v>
      </c>
      <c r="E186" s="23" t="s">
        <v>52</v>
      </c>
      <c r="F186" s="26">
        <v>-48444.333333333299</v>
      </c>
      <c r="G186" s="23" t="s">
        <v>35</v>
      </c>
      <c r="H186" s="23">
        <v>10</v>
      </c>
    </row>
    <row r="187" spans="1:8" x14ac:dyDescent="0.3">
      <c r="A187" s="23" t="s">
        <v>612</v>
      </c>
      <c r="B187" s="23" t="s">
        <v>613</v>
      </c>
      <c r="C187" s="29">
        <v>-23205391445</v>
      </c>
      <c r="D187" s="23" t="s">
        <v>349</v>
      </c>
      <c r="E187" s="23" t="s">
        <v>56</v>
      </c>
      <c r="F187" s="26">
        <v>-61431.333333333299</v>
      </c>
      <c r="G187" s="23" t="s">
        <v>57</v>
      </c>
      <c r="H187" s="23">
        <v>20</v>
      </c>
    </row>
    <row r="188" spans="1:8" x14ac:dyDescent="0.3">
      <c r="A188" s="23" t="s">
        <v>614</v>
      </c>
      <c r="B188" s="23" t="s">
        <v>615</v>
      </c>
      <c r="C188" s="26" t="s">
        <v>616</v>
      </c>
      <c r="D188" s="23" t="s">
        <v>352</v>
      </c>
      <c r="E188" s="23" t="s">
        <v>62</v>
      </c>
      <c r="F188" s="26" t="s">
        <v>353</v>
      </c>
      <c r="G188" s="23" t="s">
        <v>64</v>
      </c>
      <c r="H188" s="23">
        <v>20</v>
      </c>
    </row>
    <row r="189" spans="1:8" x14ac:dyDescent="0.3">
      <c r="A189" s="23" t="s">
        <v>617</v>
      </c>
      <c r="B189" s="23" t="s">
        <v>618</v>
      </c>
      <c r="C189" s="26" t="s">
        <v>619</v>
      </c>
      <c r="D189" s="23" t="s">
        <v>356</v>
      </c>
      <c r="E189" s="23" t="s">
        <v>69</v>
      </c>
      <c r="F189" s="26">
        <v>132181.32142857101</v>
      </c>
      <c r="G189" s="23" t="s">
        <v>57</v>
      </c>
      <c r="H189" s="23">
        <v>10</v>
      </c>
    </row>
    <row r="190" spans="1:8" x14ac:dyDescent="0.3">
      <c r="A190" s="23" t="s">
        <v>620</v>
      </c>
      <c r="B190" s="23" t="s">
        <v>621</v>
      </c>
      <c r="C190" s="26" t="s">
        <v>622</v>
      </c>
      <c r="D190" s="23" t="s">
        <v>73</v>
      </c>
      <c r="E190" s="23" t="s">
        <v>74</v>
      </c>
      <c r="F190" s="26">
        <v>137909.85714285701</v>
      </c>
      <c r="G190" s="23" t="s">
        <v>30</v>
      </c>
      <c r="H190" s="23">
        <v>20</v>
      </c>
    </row>
    <row r="191" spans="1:8" x14ac:dyDescent="0.3">
      <c r="A191" s="23" t="s">
        <v>623</v>
      </c>
      <c r="B191" s="23" t="s">
        <v>624</v>
      </c>
      <c r="C191" s="26">
        <v>6505556811</v>
      </c>
      <c r="D191" s="23" t="s">
        <v>361</v>
      </c>
      <c r="E191" s="23" t="s">
        <v>78</v>
      </c>
      <c r="F191" s="26">
        <v>143638.39285714299</v>
      </c>
      <c r="G191" s="23" t="s">
        <v>35</v>
      </c>
      <c r="H191" s="23">
        <v>10</v>
      </c>
    </row>
    <row r="192" spans="1:8" x14ac:dyDescent="0.3">
      <c r="A192" s="23" t="s">
        <v>625</v>
      </c>
      <c r="B192" s="23" t="s">
        <v>626</v>
      </c>
      <c r="C192" s="26" t="s">
        <v>627</v>
      </c>
      <c r="D192" s="23" t="s">
        <v>364</v>
      </c>
      <c r="E192" s="23" t="s">
        <v>83</v>
      </c>
      <c r="F192" s="26">
        <v>149366.92857142899</v>
      </c>
      <c r="G192" s="23" t="s">
        <v>84</v>
      </c>
      <c r="H192" s="23">
        <v>20</v>
      </c>
    </row>
    <row r="193" spans="1:8" x14ac:dyDescent="0.3">
      <c r="A193" s="23" t="s">
        <v>628</v>
      </c>
      <c r="B193" s="23" t="s">
        <v>629</v>
      </c>
      <c r="C193" s="26" t="s">
        <v>630</v>
      </c>
      <c r="D193" s="23" t="s">
        <v>489</v>
      </c>
      <c r="E193" s="23" t="s">
        <v>74</v>
      </c>
      <c r="F193" s="26">
        <v>155095.464285714</v>
      </c>
      <c r="G193" s="23" t="s">
        <v>30</v>
      </c>
      <c r="H193" s="23">
        <v>20</v>
      </c>
    </row>
    <row r="194" spans="1:8" x14ac:dyDescent="0.3">
      <c r="A194" s="23" t="s">
        <v>631</v>
      </c>
      <c r="B194" s="23" t="s">
        <v>632</v>
      </c>
      <c r="C194" s="26">
        <v>12445577243</v>
      </c>
      <c r="D194" s="23" t="s">
        <v>492</v>
      </c>
      <c r="E194" s="23" t="s">
        <v>92</v>
      </c>
      <c r="F194" s="26">
        <v>160824</v>
      </c>
      <c r="G194" s="23" t="s">
        <v>35</v>
      </c>
      <c r="H194" s="23">
        <v>20</v>
      </c>
    </row>
    <row r="195" spans="1:8" x14ac:dyDescent="0.3">
      <c r="A195" s="23" t="s">
        <v>633</v>
      </c>
      <c r="B195" s="23" t="s">
        <v>634</v>
      </c>
      <c r="C195" s="26">
        <v>14535583139</v>
      </c>
      <c r="D195" s="23" t="s">
        <v>495</v>
      </c>
      <c r="E195" s="23" t="s">
        <v>96</v>
      </c>
      <c r="F195" s="26">
        <v>166552.53571428501</v>
      </c>
      <c r="G195" s="23" t="s">
        <v>35</v>
      </c>
      <c r="H195" s="23">
        <v>10</v>
      </c>
    </row>
    <row r="196" spans="1:8" x14ac:dyDescent="0.3">
      <c r="A196" s="23" t="s">
        <v>635</v>
      </c>
      <c r="B196" s="23" t="s">
        <v>636</v>
      </c>
      <c r="C196" s="26" t="s">
        <v>637</v>
      </c>
      <c r="D196" s="23" t="s">
        <v>100</v>
      </c>
      <c r="E196" s="23" t="s">
        <v>101</v>
      </c>
      <c r="F196" s="26" t="s">
        <v>498</v>
      </c>
      <c r="G196" s="23" t="s">
        <v>84</v>
      </c>
      <c r="H196" s="23">
        <v>10</v>
      </c>
    </row>
    <row r="197" spans="1:8" x14ac:dyDescent="0.3">
      <c r="A197" s="23" t="s">
        <v>638</v>
      </c>
      <c r="B197" s="23" t="s">
        <v>639</v>
      </c>
      <c r="C197" s="26" t="s">
        <v>640</v>
      </c>
      <c r="D197" s="23" t="s">
        <v>501</v>
      </c>
      <c r="E197" s="23" t="s">
        <v>107</v>
      </c>
      <c r="F197" s="26" t="s">
        <v>502</v>
      </c>
      <c r="G197" s="23" t="s">
        <v>109</v>
      </c>
      <c r="H197" s="23">
        <v>10</v>
      </c>
    </row>
    <row r="198" spans="1:8" x14ac:dyDescent="0.3">
      <c r="A198" s="23" t="s">
        <v>641</v>
      </c>
      <c r="B198" s="23" t="s">
        <v>642</v>
      </c>
      <c r="C198" s="26" t="s">
        <v>643</v>
      </c>
      <c r="D198" s="23" t="s">
        <v>505</v>
      </c>
      <c r="E198" s="23" t="s">
        <v>114</v>
      </c>
      <c r="F198" s="26">
        <v>298069.66666666698</v>
      </c>
      <c r="G198" s="23" t="s">
        <v>115</v>
      </c>
      <c r="H198" s="23">
        <v>20</v>
      </c>
    </row>
    <row r="199" spans="1:8" x14ac:dyDescent="0.3">
      <c r="A199" s="23" t="s">
        <v>644</v>
      </c>
      <c r="B199" s="23" t="s">
        <v>645</v>
      </c>
      <c r="C199" s="26">
        <v>-4324444070</v>
      </c>
      <c r="D199" s="23" t="s">
        <v>508</v>
      </c>
      <c r="E199" s="23" t="s">
        <v>119</v>
      </c>
      <c r="F199" s="26">
        <v>344340.66666666698</v>
      </c>
      <c r="G199" s="23" t="s">
        <v>35</v>
      </c>
      <c r="H199" s="23">
        <v>10</v>
      </c>
    </row>
    <row r="200" spans="1:8" x14ac:dyDescent="0.3">
      <c r="A200" s="23" t="s">
        <v>646</v>
      </c>
      <c r="B200" s="23" t="s">
        <v>647</v>
      </c>
      <c r="C200" s="26">
        <v>-6444442950</v>
      </c>
      <c r="D200" s="23" t="s">
        <v>511</v>
      </c>
      <c r="E200" s="23" t="s">
        <v>123</v>
      </c>
      <c r="F200" s="26">
        <v>390611.66666666698</v>
      </c>
      <c r="G200" s="23" t="s">
        <v>35</v>
      </c>
      <c r="H200" s="23">
        <v>10</v>
      </c>
    </row>
    <row r="201" spans="1:8" x14ac:dyDescent="0.3">
      <c r="A201" s="23" t="s">
        <v>648</v>
      </c>
      <c r="B201" s="23" t="s">
        <v>649</v>
      </c>
      <c r="C201" s="26" t="s">
        <v>650</v>
      </c>
      <c r="D201" s="23" t="s">
        <v>127</v>
      </c>
      <c r="E201" s="23" t="s">
        <v>128</v>
      </c>
      <c r="F201" s="26" t="s">
        <v>514</v>
      </c>
      <c r="G201" s="23" t="s">
        <v>130</v>
      </c>
      <c r="H201" s="23">
        <v>10</v>
      </c>
    </row>
    <row r="202" spans="1:8" x14ac:dyDescent="0.3">
      <c r="A202" s="23" t="s">
        <v>651</v>
      </c>
      <c r="B202" s="23" t="s">
        <v>652</v>
      </c>
      <c r="C202" s="26">
        <v>3105552375</v>
      </c>
      <c r="D202" s="23" t="s">
        <v>517</v>
      </c>
      <c r="E202" s="23" t="s">
        <v>134</v>
      </c>
      <c r="F202" s="26">
        <v>-3841.5393939393698</v>
      </c>
      <c r="G202" s="23" t="s">
        <v>35</v>
      </c>
      <c r="H202" s="23">
        <v>30</v>
      </c>
    </row>
    <row r="203" spans="1:8" x14ac:dyDescent="0.3">
      <c r="A203" s="23" t="s">
        <v>653</v>
      </c>
      <c r="B203" s="23" t="s">
        <v>654</v>
      </c>
      <c r="C203" s="26" t="s">
        <v>655</v>
      </c>
      <c r="D203" s="23" t="s">
        <v>520</v>
      </c>
      <c r="E203" s="23" t="s">
        <v>139</v>
      </c>
      <c r="F203" s="26">
        <v>-7241.7999999999702</v>
      </c>
      <c r="G203" s="23" t="s">
        <v>84</v>
      </c>
      <c r="H203" s="23">
        <v>20</v>
      </c>
    </row>
    <row r="204" spans="1:8" x14ac:dyDescent="0.3">
      <c r="A204" s="23" t="s">
        <v>656</v>
      </c>
      <c r="B204" s="23" t="s">
        <v>657</v>
      </c>
      <c r="C204" s="26" t="s">
        <v>658</v>
      </c>
      <c r="D204" s="23" t="s">
        <v>143</v>
      </c>
      <c r="E204" s="23" t="s">
        <v>144</v>
      </c>
      <c r="F204" s="26">
        <v>-10642.060606060601</v>
      </c>
      <c r="G204" s="23" t="s">
        <v>30</v>
      </c>
      <c r="H204" s="23">
        <v>10</v>
      </c>
    </row>
    <row r="205" spans="1:8" x14ac:dyDescent="0.3">
      <c r="A205" s="23" t="s">
        <v>659</v>
      </c>
      <c r="B205" s="23" t="s">
        <v>660</v>
      </c>
      <c r="C205" s="26">
        <v>5085559557</v>
      </c>
      <c r="D205" s="23" t="s">
        <v>525</v>
      </c>
      <c r="E205" s="23" t="s">
        <v>34</v>
      </c>
      <c r="F205" s="26">
        <v>-14042.3212121212</v>
      </c>
      <c r="G205" s="23" t="s">
        <v>35</v>
      </c>
      <c r="H205" s="23">
        <v>30</v>
      </c>
    </row>
    <row r="206" spans="1:8" x14ac:dyDescent="0.3">
      <c r="A206" s="23" t="s">
        <v>661</v>
      </c>
      <c r="B206" s="23" t="s">
        <v>662</v>
      </c>
      <c r="C206" s="26" t="s">
        <v>663</v>
      </c>
      <c r="D206" s="23" t="s">
        <v>528</v>
      </c>
      <c r="E206" s="23" t="s">
        <v>152</v>
      </c>
      <c r="F206" s="26">
        <v>-17442.581818181799</v>
      </c>
      <c r="G206" s="23" t="s">
        <v>153</v>
      </c>
      <c r="H206" s="23">
        <v>20</v>
      </c>
    </row>
    <row r="207" spans="1:8" x14ac:dyDescent="0.3">
      <c r="A207" s="23" t="s">
        <v>664</v>
      </c>
      <c r="B207" s="23" t="s">
        <v>665</v>
      </c>
      <c r="C207" s="26">
        <v>18595574395</v>
      </c>
      <c r="D207" s="23" t="s">
        <v>531</v>
      </c>
      <c r="E207" s="23" t="s">
        <v>157</v>
      </c>
      <c r="F207" s="26">
        <v>-20842.842424242401</v>
      </c>
      <c r="G207" s="23" t="s">
        <v>35</v>
      </c>
      <c r="H207" s="23">
        <v>20</v>
      </c>
    </row>
    <row r="208" spans="1:8" x14ac:dyDescent="0.3">
      <c r="A208" s="23" t="s">
        <v>666</v>
      </c>
      <c r="B208" s="23" t="s">
        <v>667</v>
      </c>
      <c r="C208" s="26">
        <v>22705580105</v>
      </c>
      <c r="D208" s="23" t="s">
        <v>160</v>
      </c>
      <c r="E208" s="23" t="s">
        <v>161</v>
      </c>
      <c r="F208" s="26">
        <v>-24243.103030302998</v>
      </c>
      <c r="G208" s="23" t="s">
        <v>35</v>
      </c>
      <c r="H208" s="23">
        <v>10</v>
      </c>
    </row>
    <row r="209" spans="1:8" x14ac:dyDescent="0.3">
      <c r="A209" s="23" t="s">
        <v>668</v>
      </c>
      <c r="B209" s="23" t="s">
        <v>669</v>
      </c>
      <c r="C209" s="26" t="s">
        <v>670</v>
      </c>
      <c r="D209" s="23" t="s">
        <v>536</v>
      </c>
      <c r="E209" s="23" t="s">
        <v>166</v>
      </c>
      <c r="F209" s="26">
        <v>-27643.3636363636</v>
      </c>
      <c r="G209" s="23" t="s">
        <v>30</v>
      </c>
      <c r="H209" s="23">
        <v>10</v>
      </c>
    </row>
    <row r="210" spans="1:8" x14ac:dyDescent="0.3">
      <c r="A210" s="23" t="s">
        <v>671</v>
      </c>
      <c r="B210" s="23" t="s">
        <v>672</v>
      </c>
      <c r="C210" s="26" t="s">
        <v>673</v>
      </c>
      <c r="D210" s="23" t="s">
        <v>539</v>
      </c>
      <c r="E210" s="23" t="s">
        <v>171</v>
      </c>
      <c r="F210" s="26">
        <v>-31043.624242424299</v>
      </c>
      <c r="G210" s="23" t="s">
        <v>172</v>
      </c>
      <c r="H210" s="23">
        <v>10</v>
      </c>
    </row>
    <row r="211" spans="1:8" x14ac:dyDescent="0.3">
      <c r="A211" s="23" t="s">
        <v>674</v>
      </c>
      <c r="B211" s="23" t="s">
        <v>675</v>
      </c>
      <c r="C211" s="26" t="s">
        <v>676</v>
      </c>
      <c r="D211" s="23" t="s">
        <v>176</v>
      </c>
      <c r="E211" s="23" t="s">
        <v>177</v>
      </c>
      <c r="F211" s="26">
        <v>-34443.8848484849</v>
      </c>
      <c r="G211" s="23" t="s">
        <v>57</v>
      </c>
      <c r="H211" s="23">
        <v>10</v>
      </c>
    </row>
    <row r="212" spans="1:8" x14ac:dyDescent="0.3">
      <c r="A212" s="23" t="s">
        <v>677</v>
      </c>
      <c r="B212" s="23" t="s">
        <v>678</v>
      </c>
      <c r="C212" s="26" t="s">
        <v>679</v>
      </c>
      <c r="D212" s="23" t="s">
        <v>544</v>
      </c>
      <c r="E212" s="23" t="s">
        <v>182</v>
      </c>
      <c r="F212" s="26" t="s">
        <v>545</v>
      </c>
      <c r="G212" s="23" t="s">
        <v>184</v>
      </c>
      <c r="H212" s="23">
        <v>10</v>
      </c>
    </row>
    <row r="213" spans="1:8" x14ac:dyDescent="0.3">
      <c r="A213" s="23" t="s">
        <v>680</v>
      </c>
      <c r="B213" s="23" t="s">
        <v>681</v>
      </c>
      <c r="C213" s="29">
        <v>6105512735</v>
      </c>
      <c r="D213" s="23" t="s">
        <v>187</v>
      </c>
      <c r="E213" s="23" t="s">
        <v>188</v>
      </c>
      <c r="F213" s="26">
        <v>168941</v>
      </c>
      <c r="G213" s="23" t="s">
        <v>188</v>
      </c>
      <c r="H213" s="23">
        <v>20</v>
      </c>
    </row>
    <row r="214" spans="1:8" x14ac:dyDescent="0.3">
      <c r="A214" s="23" t="s">
        <v>682</v>
      </c>
      <c r="B214" s="23" t="s">
        <v>683</v>
      </c>
      <c r="C214" s="26">
        <v>7468830530</v>
      </c>
      <c r="D214" s="23" t="s">
        <v>550</v>
      </c>
      <c r="E214" s="23" t="s">
        <v>192</v>
      </c>
      <c r="F214" s="26">
        <v>193915</v>
      </c>
      <c r="G214" s="23" t="s">
        <v>35</v>
      </c>
      <c r="H214" s="23">
        <v>10</v>
      </c>
    </row>
    <row r="215" spans="1:8" x14ac:dyDescent="0.3">
      <c r="A215" s="23" t="s">
        <v>684</v>
      </c>
      <c r="B215" s="23" t="s">
        <v>685</v>
      </c>
      <c r="C215" s="26" t="s">
        <v>686</v>
      </c>
      <c r="D215" s="23" t="s">
        <v>553</v>
      </c>
      <c r="E215" s="23" t="s">
        <v>197</v>
      </c>
      <c r="F215" s="26" t="s">
        <v>554</v>
      </c>
      <c r="G215" s="23" t="s">
        <v>184</v>
      </c>
      <c r="H215" s="23">
        <v>20</v>
      </c>
    </row>
    <row r="216" spans="1:8" x14ac:dyDescent="0.3">
      <c r="A216" s="23" t="s">
        <v>687</v>
      </c>
      <c r="B216" s="23" t="s">
        <v>688</v>
      </c>
      <c r="C216" s="26" t="s">
        <v>689</v>
      </c>
      <c r="D216" s="23" t="s">
        <v>557</v>
      </c>
      <c r="E216" s="23" t="s">
        <v>203</v>
      </c>
      <c r="F216" s="26">
        <v>125316.428571429</v>
      </c>
      <c r="G216" s="23" t="s">
        <v>115</v>
      </c>
      <c r="H216" s="23">
        <v>10</v>
      </c>
    </row>
    <row r="217" spans="1:8" x14ac:dyDescent="0.3">
      <c r="A217" s="23" t="s">
        <v>690</v>
      </c>
      <c r="B217" s="23" t="s">
        <v>691</v>
      </c>
      <c r="C217" s="26" t="s">
        <v>692</v>
      </c>
      <c r="D217" s="23" t="s">
        <v>560</v>
      </c>
      <c r="E217" s="23" t="s">
        <v>208</v>
      </c>
      <c r="F217" s="26">
        <v>133386.285714286</v>
      </c>
      <c r="G217" s="23" t="s">
        <v>57</v>
      </c>
      <c r="H217" s="23">
        <v>20</v>
      </c>
    </row>
    <row r="218" spans="1:8" x14ac:dyDescent="0.3">
      <c r="A218" s="23" t="s">
        <v>693</v>
      </c>
      <c r="B218" s="23" t="s">
        <v>694</v>
      </c>
      <c r="C218" s="29">
        <v>652217557</v>
      </c>
      <c r="D218" s="23" t="s">
        <v>211</v>
      </c>
      <c r="E218" s="23" t="s">
        <v>188</v>
      </c>
      <c r="F218" s="26">
        <v>141456.14285714299</v>
      </c>
      <c r="G218" s="23" t="s">
        <v>188</v>
      </c>
      <c r="H218" s="23">
        <v>20</v>
      </c>
    </row>
    <row r="219" spans="1:8" x14ac:dyDescent="0.3">
      <c r="A219" s="23" t="s">
        <v>695</v>
      </c>
      <c r="B219" s="23" t="s">
        <v>696</v>
      </c>
      <c r="C219" s="26" t="s">
        <v>697</v>
      </c>
      <c r="D219" s="23" t="s">
        <v>215</v>
      </c>
      <c r="E219" s="23" t="s">
        <v>216</v>
      </c>
      <c r="F219" s="26">
        <v>149526</v>
      </c>
      <c r="G219" s="23" t="s">
        <v>30</v>
      </c>
      <c r="H219" s="23">
        <v>20</v>
      </c>
    </row>
    <row r="220" spans="1:8" x14ac:dyDescent="0.3">
      <c r="A220" s="23" t="s">
        <v>698</v>
      </c>
      <c r="B220" s="23" t="s">
        <v>699</v>
      </c>
      <c r="C220" s="26" t="s">
        <v>700</v>
      </c>
      <c r="D220" s="23" t="s">
        <v>567</v>
      </c>
      <c r="E220" s="23" t="s">
        <v>221</v>
      </c>
      <c r="F220" s="26">
        <v>157595.857142858</v>
      </c>
      <c r="G220" s="23" t="s">
        <v>30</v>
      </c>
      <c r="H220" s="23">
        <v>10</v>
      </c>
    </row>
    <row r="221" spans="1:8" x14ac:dyDescent="0.3">
      <c r="A221" s="23" t="s">
        <v>701</v>
      </c>
      <c r="B221" s="23" t="s">
        <v>702</v>
      </c>
      <c r="C221" s="26">
        <v>106248000000</v>
      </c>
      <c r="D221" s="23" t="s">
        <v>28</v>
      </c>
      <c r="E221" s="23" t="s">
        <v>29</v>
      </c>
      <c r="F221" s="26">
        <v>165665.71428571499</v>
      </c>
      <c r="G221" s="23" t="s">
        <v>30</v>
      </c>
      <c r="H221" s="23">
        <v>10</v>
      </c>
    </row>
    <row r="222" spans="1:8" x14ac:dyDescent="0.3">
      <c r="A222" s="23" t="s">
        <v>703</v>
      </c>
      <c r="B222" s="23" t="s">
        <v>704</v>
      </c>
      <c r="C222" s="26">
        <v>107285220000</v>
      </c>
      <c r="D222" s="23" t="s">
        <v>572</v>
      </c>
      <c r="E222" s="23" t="s">
        <v>34</v>
      </c>
      <c r="F222" s="26">
        <v>173735.571428572</v>
      </c>
      <c r="G222" s="23" t="s">
        <v>35</v>
      </c>
      <c r="H222" s="23">
        <v>10</v>
      </c>
    </row>
    <row r="223" spans="1:8" x14ac:dyDescent="0.3">
      <c r="A223" s="23" t="s">
        <v>705</v>
      </c>
      <c r="B223" s="23" t="s">
        <v>706</v>
      </c>
      <c r="C223" s="26">
        <v>108322440000</v>
      </c>
      <c r="D223" s="23" t="s">
        <v>39</v>
      </c>
      <c r="E223" s="23" t="s">
        <v>40</v>
      </c>
      <c r="F223" s="26" t="s">
        <v>41</v>
      </c>
      <c r="G223" s="23" t="s">
        <v>42</v>
      </c>
      <c r="H223" s="23">
        <v>20</v>
      </c>
    </row>
    <row r="224" spans="1:8" x14ac:dyDescent="0.3">
      <c r="A224" s="23" t="s">
        <v>707</v>
      </c>
      <c r="B224" s="23" t="s">
        <v>708</v>
      </c>
      <c r="C224" s="26">
        <v>109359660000</v>
      </c>
      <c r="D224" s="23" t="s">
        <v>577</v>
      </c>
      <c r="E224" s="23" t="s">
        <v>47</v>
      </c>
      <c r="F224" s="26">
        <v>-74418.333333333299</v>
      </c>
      <c r="G224" s="23" t="s">
        <v>48</v>
      </c>
      <c r="H224" s="23">
        <v>20</v>
      </c>
    </row>
    <row r="225" spans="1:8" x14ac:dyDescent="0.3">
      <c r="A225" s="23" t="s">
        <v>709</v>
      </c>
      <c r="B225" s="23" t="s">
        <v>710</v>
      </c>
      <c r="C225" s="26">
        <v>110396880000</v>
      </c>
      <c r="D225" s="23" t="s">
        <v>580</v>
      </c>
      <c r="E225" s="23" t="s">
        <v>52</v>
      </c>
      <c r="F225" s="26">
        <v>-87405.333333333299</v>
      </c>
      <c r="G225" s="23" t="s">
        <v>35</v>
      </c>
      <c r="H225" s="23">
        <v>10</v>
      </c>
    </row>
    <row r="226" spans="1:8" x14ac:dyDescent="0.3">
      <c r="A226" s="23" t="s">
        <v>711</v>
      </c>
      <c r="B226" s="23" t="s">
        <v>712</v>
      </c>
      <c r="C226" s="26">
        <v>111434100000</v>
      </c>
      <c r="D226" s="23" t="s">
        <v>583</v>
      </c>
      <c r="E226" s="23" t="s">
        <v>56</v>
      </c>
      <c r="F226" s="26">
        <v>-100392.33333333299</v>
      </c>
      <c r="G226" s="23" t="s">
        <v>57</v>
      </c>
      <c r="H226" s="23">
        <v>20</v>
      </c>
    </row>
    <row r="227" spans="1:8" x14ac:dyDescent="0.3">
      <c r="A227" s="23" t="s">
        <v>713</v>
      </c>
      <c r="B227" s="23" t="s">
        <v>714</v>
      </c>
      <c r="C227" s="26">
        <v>112471320000</v>
      </c>
      <c r="D227" s="23" t="s">
        <v>586</v>
      </c>
      <c r="E227" s="23" t="s">
        <v>62</v>
      </c>
      <c r="F227" s="26" t="s">
        <v>587</v>
      </c>
      <c r="G227" s="23" t="s">
        <v>64</v>
      </c>
      <c r="H227" s="23">
        <v>20</v>
      </c>
    </row>
    <row r="228" spans="1:8" x14ac:dyDescent="0.3">
      <c r="A228" s="23" t="s">
        <v>715</v>
      </c>
      <c r="B228" s="23" t="s">
        <v>716</v>
      </c>
      <c r="C228" s="26">
        <v>113508540000</v>
      </c>
      <c r="D228" s="23" t="s">
        <v>590</v>
      </c>
      <c r="E228" s="23" t="s">
        <v>69</v>
      </c>
      <c r="F228" s="26">
        <v>172281.07142857101</v>
      </c>
      <c r="G228" s="23" t="s">
        <v>57</v>
      </c>
      <c r="H228" s="23">
        <v>10</v>
      </c>
    </row>
    <row r="229" spans="1:8" x14ac:dyDescent="0.3">
      <c r="A229" s="23" t="s">
        <v>717</v>
      </c>
      <c r="B229" s="23" t="s">
        <v>718</v>
      </c>
      <c r="C229" s="26">
        <v>114545760000</v>
      </c>
      <c r="D229" s="23" t="s">
        <v>73</v>
      </c>
      <c r="E229" s="23" t="s">
        <v>74</v>
      </c>
      <c r="F229" s="26">
        <v>178009.60714285701</v>
      </c>
      <c r="G229" s="23" t="s">
        <v>30</v>
      </c>
      <c r="H229" s="23">
        <v>20</v>
      </c>
    </row>
    <row r="230" spans="1:8" x14ac:dyDescent="0.3">
      <c r="A230" s="23" t="s">
        <v>719</v>
      </c>
      <c r="B230" s="23" t="s">
        <v>720</v>
      </c>
      <c r="C230" s="26">
        <v>115582980000</v>
      </c>
      <c r="D230" s="23" t="s">
        <v>595</v>
      </c>
      <c r="E230" s="23" t="s">
        <v>78</v>
      </c>
      <c r="F230" s="26">
        <v>183738.142857142</v>
      </c>
      <c r="G230" s="23" t="s">
        <v>35</v>
      </c>
      <c r="H230" s="23">
        <v>10</v>
      </c>
    </row>
    <row r="231" spans="1:8" x14ac:dyDescent="0.3">
      <c r="A231" s="23" t="s">
        <v>721</v>
      </c>
      <c r="B231" s="23" t="s">
        <v>722</v>
      </c>
      <c r="C231" s="26">
        <v>116620200000</v>
      </c>
      <c r="D231" s="23" t="s">
        <v>598</v>
      </c>
      <c r="E231" s="23" t="s">
        <v>83</v>
      </c>
      <c r="F231" s="26">
        <v>189466.678571428</v>
      </c>
      <c r="G231" s="23" t="s">
        <v>84</v>
      </c>
      <c r="H231" s="23">
        <v>10</v>
      </c>
    </row>
    <row r="232" spans="1:8" x14ac:dyDescent="0.3">
      <c r="A232" s="23" t="s">
        <v>723</v>
      </c>
      <c r="B232" s="23" t="s">
        <v>724</v>
      </c>
      <c r="C232" s="26">
        <v>117657420000</v>
      </c>
      <c r="D232" s="23" t="s">
        <v>725</v>
      </c>
      <c r="E232" s="23" t="s">
        <v>74</v>
      </c>
      <c r="F232" s="26">
        <v>195195.214285714</v>
      </c>
      <c r="G232" s="23" t="s">
        <v>30</v>
      </c>
      <c r="H232" s="23">
        <v>20</v>
      </c>
    </row>
    <row r="233" spans="1:8" x14ac:dyDescent="0.3">
      <c r="A233" s="23" t="s">
        <v>726</v>
      </c>
      <c r="B233" s="23" t="s">
        <v>727</v>
      </c>
      <c r="C233" s="26">
        <v>118694640000</v>
      </c>
      <c r="D233" s="23" t="s">
        <v>728</v>
      </c>
      <c r="E233" s="23" t="s">
        <v>92</v>
      </c>
      <c r="F233" s="26">
        <v>200923.74999999901</v>
      </c>
      <c r="G233" s="23" t="s">
        <v>35</v>
      </c>
      <c r="H233" s="23">
        <v>10</v>
      </c>
    </row>
    <row r="234" spans="1:8" x14ac:dyDescent="0.3">
      <c r="A234" s="23" t="s">
        <v>729</v>
      </c>
      <c r="B234" s="23" t="s">
        <v>730</v>
      </c>
      <c r="C234" s="26">
        <v>119731860000</v>
      </c>
      <c r="D234" s="23" t="s">
        <v>731</v>
      </c>
      <c r="E234" s="23" t="s">
        <v>96</v>
      </c>
      <c r="F234" s="26">
        <v>206652.28571428501</v>
      </c>
      <c r="G234" s="23" t="s">
        <v>35</v>
      </c>
      <c r="H234" s="23">
        <v>10</v>
      </c>
    </row>
    <row r="235" spans="1:8" x14ac:dyDescent="0.3">
      <c r="A235" s="23" t="s">
        <v>732</v>
      </c>
      <c r="B235" s="23" t="s">
        <v>733</v>
      </c>
      <c r="C235" s="26">
        <v>120769080000</v>
      </c>
      <c r="D235" s="23" t="s">
        <v>100</v>
      </c>
      <c r="E235" s="23" t="s">
        <v>101</v>
      </c>
      <c r="F235" s="26" t="s">
        <v>734</v>
      </c>
      <c r="G235" s="23" t="s">
        <v>84</v>
      </c>
      <c r="H235" s="23">
        <v>10</v>
      </c>
    </row>
    <row r="236" spans="1:8" x14ac:dyDescent="0.3">
      <c r="A236" s="23" t="s">
        <v>735</v>
      </c>
      <c r="B236" s="23" t="s">
        <v>736</v>
      </c>
      <c r="C236" s="26">
        <v>121806300000</v>
      </c>
      <c r="D236" s="23" t="s">
        <v>737</v>
      </c>
      <c r="E236" s="23" t="s">
        <v>107</v>
      </c>
      <c r="F236" s="26" t="s">
        <v>738</v>
      </c>
      <c r="G236" s="23" t="s">
        <v>109</v>
      </c>
      <c r="H236" s="23">
        <v>10</v>
      </c>
    </row>
    <row r="237" spans="1:8" x14ac:dyDescent="0.3">
      <c r="A237" s="23" t="s">
        <v>739</v>
      </c>
      <c r="B237" s="23" t="s">
        <v>740</v>
      </c>
      <c r="C237" s="26">
        <v>122843520000</v>
      </c>
      <c r="D237" s="23" t="s">
        <v>741</v>
      </c>
      <c r="E237" s="23" t="s">
        <v>114</v>
      </c>
      <c r="F237" s="26">
        <v>436882.66666666698</v>
      </c>
      <c r="G237" s="23" t="s">
        <v>115</v>
      </c>
      <c r="H237" s="23">
        <v>20</v>
      </c>
    </row>
    <row r="238" spans="1:8" x14ac:dyDescent="0.3">
      <c r="A238" s="23" t="s">
        <v>742</v>
      </c>
      <c r="B238" s="23" t="s">
        <v>743</v>
      </c>
      <c r="C238" s="26">
        <v>123880740000</v>
      </c>
      <c r="D238" s="23" t="s">
        <v>744</v>
      </c>
      <c r="E238" s="23" t="s">
        <v>119</v>
      </c>
      <c r="F238" s="26">
        <v>483153.66666666698</v>
      </c>
      <c r="G238" s="23" t="s">
        <v>35</v>
      </c>
      <c r="H238" s="23">
        <v>10</v>
      </c>
    </row>
    <row r="239" spans="1:8" x14ac:dyDescent="0.3">
      <c r="A239" s="23" t="s">
        <v>745</v>
      </c>
      <c r="B239" s="23" t="s">
        <v>746</v>
      </c>
      <c r="C239" s="26">
        <v>124917960000</v>
      </c>
      <c r="D239" s="23" t="s">
        <v>747</v>
      </c>
      <c r="E239" s="23" t="s">
        <v>123</v>
      </c>
      <c r="F239" s="26">
        <v>529424.66666666698</v>
      </c>
      <c r="G239" s="23" t="s">
        <v>35</v>
      </c>
      <c r="H239" s="23">
        <v>20</v>
      </c>
    </row>
    <row r="240" spans="1:8" x14ac:dyDescent="0.3">
      <c r="A240" s="23" t="s">
        <v>748</v>
      </c>
      <c r="B240" s="23" t="s">
        <v>749</v>
      </c>
      <c r="C240" s="26">
        <v>125955180000</v>
      </c>
      <c r="D240" s="23" t="s">
        <v>127</v>
      </c>
      <c r="E240" s="23" t="s">
        <v>128</v>
      </c>
      <c r="F240" s="26" t="s">
        <v>750</v>
      </c>
      <c r="G240" s="23" t="s">
        <v>130</v>
      </c>
      <c r="H240" s="23">
        <v>20</v>
      </c>
    </row>
    <row r="241" spans="1:8" x14ac:dyDescent="0.3">
      <c r="A241" s="23" t="s">
        <v>751</v>
      </c>
      <c r="B241" s="23" t="s">
        <v>752</v>
      </c>
      <c r="C241" s="26">
        <v>126992400000</v>
      </c>
      <c r="D241" s="23" t="s">
        <v>753</v>
      </c>
      <c r="E241" s="23" t="s">
        <v>134</v>
      </c>
      <c r="F241" s="26">
        <v>-37844.145454545403</v>
      </c>
      <c r="G241" s="23" t="s">
        <v>35</v>
      </c>
      <c r="H241" s="23">
        <v>10</v>
      </c>
    </row>
    <row r="242" spans="1:8" x14ac:dyDescent="0.3">
      <c r="A242" s="23" t="s">
        <v>754</v>
      </c>
      <c r="B242" s="23" t="s">
        <v>755</v>
      </c>
      <c r="C242" s="26">
        <v>128029620000</v>
      </c>
      <c r="D242" s="23" t="s">
        <v>756</v>
      </c>
      <c r="E242" s="23" t="s">
        <v>139</v>
      </c>
      <c r="F242" s="26">
        <v>-41244.406060606001</v>
      </c>
      <c r="G242" s="23" t="s">
        <v>84</v>
      </c>
      <c r="H242" s="23">
        <v>20</v>
      </c>
    </row>
    <row r="243" spans="1:8" x14ac:dyDescent="0.3">
      <c r="A243" s="23" t="s">
        <v>757</v>
      </c>
      <c r="B243" s="23" t="s">
        <v>758</v>
      </c>
      <c r="C243" s="26">
        <v>129066840000</v>
      </c>
      <c r="D243" s="23" t="s">
        <v>143</v>
      </c>
      <c r="E243" s="23" t="s">
        <v>144</v>
      </c>
      <c r="F243" s="26">
        <v>-44644.666666666599</v>
      </c>
      <c r="G243" s="23" t="s">
        <v>30</v>
      </c>
      <c r="H243" s="23">
        <v>20</v>
      </c>
    </row>
    <row r="244" spans="1:8" x14ac:dyDescent="0.3">
      <c r="A244" s="23" t="s">
        <v>759</v>
      </c>
      <c r="B244" s="23" t="s">
        <v>760</v>
      </c>
      <c r="C244" s="26">
        <v>130104060000</v>
      </c>
      <c r="D244" s="23" t="s">
        <v>761</v>
      </c>
      <c r="E244" s="23" t="s">
        <v>34</v>
      </c>
      <c r="F244" s="26">
        <v>-48044.927272727196</v>
      </c>
      <c r="G244" s="23" t="s">
        <v>35</v>
      </c>
      <c r="H244" s="23">
        <v>20</v>
      </c>
    </row>
    <row r="245" spans="1:8" x14ac:dyDescent="0.3">
      <c r="A245" s="23" t="s">
        <v>762</v>
      </c>
      <c r="B245" s="23" t="s">
        <v>763</v>
      </c>
      <c r="C245" s="26">
        <v>131141280000</v>
      </c>
      <c r="D245" s="23" t="s">
        <v>764</v>
      </c>
      <c r="E245" s="23" t="s">
        <v>152</v>
      </c>
      <c r="F245" s="26">
        <v>-51445.187878787801</v>
      </c>
      <c r="G245" s="23" t="s">
        <v>153</v>
      </c>
      <c r="H245" s="23">
        <v>10</v>
      </c>
    </row>
    <row r="246" spans="1:8" x14ac:dyDescent="0.3">
      <c r="A246" s="23" t="s">
        <v>765</v>
      </c>
      <c r="B246" s="23" t="s">
        <v>766</v>
      </c>
      <c r="C246" s="26">
        <v>132178500000</v>
      </c>
      <c r="D246" s="23" t="s">
        <v>767</v>
      </c>
      <c r="E246" s="23" t="s">
        <v>157</v>
      </c>
      <c r="F246" s="26">
        <v>-54845.448484848399</v>
      </c>
      <c r="G246" s="23" t="s">
        <v>35</v>
      </c>
      <c r="H246" s="23">
        <v>10</v>
      </c>
    </row>
    <row r="247" spans="1:8" x14ac:dyDescent="0.3">
      <c r="A247" s="23" t="s">
        <v>768</v>
      </c>
      <c r="B247" s="23" t="s">
        <v>769</v>
      </c>
      <c r="C247" s="26">
        <v>133215720000</v>
      </c>
      <c r="D247" s="23" t="s">
        <v>160</v>
      </c>
      <c r="E247" s="23" t="s">
        <v>161</v>
      </c>
      <c r="F247" s="26">
        <v>-58245.709090908997</v>
      </c>
      <c r="G247" s="23" t="s">
        <v>35</v>
      </c>
      <c r="H247" s="23">
        <v>20</v>
      </c>
    </row>
    <row r="248" spans="1:8" x14ac:dyDescent="0.3">
      <c r="A248" s="23" t="s">
        <v>770</v>
      </c>
      <c r="B248" s="23" t="s">
        <v>771</v>
      </c>
      <c r="C248" s="26">
        <v>134252940000</v>
      </c>
      <c r="D248" s="23" t="s">
        <v>772</v>
      </c>
      <c r="E248" s="23" t="s">
        <v>166</v>
      </c>
      <c r="F248" s="26">
        <v>-61645.969696969602</v>
      </c>
      <c r="G248" s="23" t="s">
        <v>30</v>
      </c>
      <c r="H248" s="23">
        <v>10</v>
      </c>
    </row>
    <row r="249" spans="1:8" x14ac:dyDescent="0.3">
      <c r="A249" s="23" t="s">
        <v>773</v>
      </c>
      <c r="B249" s="23" t="s">
        <v>774</v>
      </c>
      <c r="C249" s="26">
        <v>135290160000</v>
      </c>
      <c r="D249" s="23" t="s">
        <v>775</v>
      </c>
      <c r="E249" s="23" t="s">
        <v>171</v>
      </c>
      <c r="F249" s="26">
        <v>-65046.230303030199</v>
      </c>
      <c r="G249" s="23" t="s">
        <v>172</v>
      </c>
      <c r="H249" s="23">
        <v>10</v>
      </c>
    </row>
    <row r="250" spans="1:8" x14ac:dyDescent="0.3">
      <c r="A250" s="23" t="s">
        <v>776</v>
      </c>
      <c r="B250" s="23" t="s">
        <v>777</v>
      </c>
      <c r="C250" s="26">
        <v>136327380000</v>
      </c>
      <c r="D250" s="23" t="s">
        <v>176</v>
      </c>
      <c r="E250" s="23" t="s">
        <v>177</v>
      </c>
      <c r="F250" s="26">
        <v>-68446.490909090804</v>
      </c>
      <c r="G250" s="23" t="s">
        <v>57</v>
      </c>
      <c r="H250" s="23">
        <v>20</v>
      </c>
    </row>
    <row r="251" spans="1:8" x14ac:dyDescent="0.3">
      <c r="A251" s="23" t="s">
        <v>778</v>
      </c>
      <c r="B251" s="23" t="s">
        <v>779</v>
      </c>
      <c r="C251" s="26">
        <v>137364600000</v>
      </c>
      <c r="D251" s="23" t="s">
        <v>780</v>
      </c>
      <c r="E251" s="23" t="s">
        <v>182</v>
      </c>
      <c r="F251" s="26" t="s">
        <v>781</v>
      </c>
      <c r="G251" s="23" t="s">
        <v>184</v>
      </c>
      <c r="H251" s="23">
        <v>20</v>
      </c>
    </row>
    <row r="252" spans="1:8" x14ac:dyDescent="0.3">
      <c r="A252" s="23" t="s">
        <v>782</v>
      </c>
      <c r="B252" s="23" t="s">
        <v>783</v>
      </c>
      <c r="C252" s="26">
        <v>138401820000</v>
      </c>
      <c r="D252" s="23" t="s">
        <v>187</v>
      </c>
      <c r="E252" s="23" t="s">
        <v>188</v>
      </c>
      <c r="F252" s="26">
        <v>218889</v>
      </c>
      <c r="G252" s="23" t="s">
        <v>188</v>
      </c>
      <c r="H252" s="23">
        <v>10</v>
      </c>
    </row>
    <row r="253" spans="1:8" x14ac:dyDescent="0.3">
      <c r="A253" s="23" t="s">
        <v>784</v>
      </c>
      <c r="B253" s="23" t="s">
        <v>785</v>
      </c>
      <c r="C253" s="26">
        <v>139439040000</v>
      </c>
      <c r="D253" s="23" t="s">
        <v>786</v>
      </c>
      <c r="E253" s="23" t="s">
        <v>192</v>
      </c>
      <c r="F253" s="26">
        <v>243863</v>
      </c>
      <c r="G253" s="23" t="s">
        <v>35</v>
      </c>
      <c r="H253" s="23">
        <v>10</v>
      </c>
    </row>
    <row r="254" spans="1:8" x14ac:dyDescent="0.3">
      <c r="A254" s="23" t="s">
        <v>787</v>
      </c>
      <c r="B254" s="23" t="s">
        <v>788</v>
      </c>
      <c r="C254" s="26">
        <v>140476260000</v>
      </c>
      <c r="D254" s="23" t="s">
        <v>789</v>
      </c>
      <c r="E254" s="23" t="s">
        <v>197</v>
      </c>
      <c r="F254" s="26" t="s">
        <v>790</v>
      </c>
      <c r="G254" s="23" t="s">
        <v>184</v>
      </c>
      <c r="H254" s="23">
        <v>20</v>
      </c>
    </row>
    <row r="255" spans="1:8" x14ac:dyDescent="0.3">
      <c r="A255" s="23" t="s">
        <v>791</v>
      </c>
      <c r="B255" s="23" t="s">
        <v>792</v>
      </c>
      <c r="C255" s="26">
        <v>141513480000</v>
      </c>
      <c r="D255" s="23" t="s">
        <v>793</v>
      </c>
      <c r="E255" s="23" t="s">
        <v>203</v>
      </c>
      <c r="F255" s="26">
        <v>119906.178571429</v>
      </c>
      <c r="G255" s="23" t="s">
        <v>115</v>
      </c>
      <c r="H255" s="23">
        <v>10</v>
      </c>
    </row>
    <row r="256" spans="1:8" x14ac:dyDescent="0.3">
      <c r="A256" s="23" t="s">
        <v>794</v>
      </c>
      <c r="B256" s="23" t="s">
        <v>795</v>
      </c>
      <c r="C256" s="26">
        <v>142550700000</v>
      </c>
      <c r="D256" s="23" t="s">
        <v>796</v>
      </c>
      <c r="E256" s="23" t="s">
        <v>208</v>
      </c>
      <c r="F256" s="26">
        <v>125330.857142857</v>
      </c>
      <c r="G256" s="23" t="s">
        <v>57</v>
      </c>
      <c r="H256" s="23">
        <v>10</v>
      </c>
    </row>
    <row r="257" spans="1:8" x14ac:dyDescent="0.3">
      <c r="A257" s="23" t="s">
        <v>797</v>
      </c>
      <c r="B257" s="23" t="s">
        <v>798</v>
      </c>
      <c r="C257" s="26">
        <v>143587920000</v>
      </c>
      <c r="D257" s="23" t="s">
        <v>211</v>
      </c>
      <c r="E257" s="23" t="s">
        <v>188</v>
      </c>
      <c r="F257" s="26">
        <v>130755.535714286</v>
      </c>
      <c r="G257" s="23" t="s">
        <v>188</v>
      </c>
      <c r="H257" s="23">
        <v>10</v>
      </c>
    </row>
    <row r="258" spans="1:8" x14ac:dyDescent="0.3">
      <c r="A258" s="23" t="s">
        <v>799</v>
      </c>
      <c r="B258" s="23" t="s">
        <v>800</v>
      </c>
      <c r="C258" s="26">
        <v>144625140000</v>
      </c>
      <c r="D258" s="23" t="s">
        <v>215</v>
      </c>
      <c r="E258" s="23" t="s">
        <v>216</v>
      </c>
      <c r="F258" s="26">
        <v>136180.214285714</v>
      </c>
      <c r="G258" s="23" t="s">
        <v>30</v>
      </c>
      <c r="H258" s="23">
        <v>20</v>
      </c>
    </row>
    <row r="259" spans="1:8" x14ac:dyDescent="0.3">
      <c r="A259" s="23" t="s">
        <v>801</v>
      </c>
      <c r="B259" s="23" t="s">
        <v>802</v>
      </c>
      <c r="C259" s="26">
        <v>145662360000</v>
      </c>
      <c r="D259" s="23" t="s">
        <v>803</v>
      </c>
      <c r="E259" s="23" t="s">
        <v>221</v>
      </c>
      <c r="F259" s="26">
        <v>141604.89285714299</v>
      </c>
      <c r="G259" s="23" t="s">
        <v>30</v>
      </c>
      <c r="H259" s="23">
        <v>20</v>
      </c>
    </row>
    <row r="260" spans="1:8" x14ac:dyDescent="0.3">
      <c r="A260" s="23" t="s">
        <v>804</v>
      </c>
      <c r="B260" s="23" t="s">
        <v>805</v>
      </c>
      <c r="C260" s="26">
        <v>146699580000</v>
      </c>
      <c r="D260" s="23" t="s">
        <v>28</v>
      </c>
      <c r="E260" s="23" t="s">
        <v>29</v>
      </c>
      <c r="F260" s="26">
        <v>147029.571428572</v>
      </c>
      <c r="G260" s="23" t="s">
        <v>30</v>
      </c>
      <c r="H260" s="23">
        <v>20</v>
      </c>
    </row>
    <row r="261" spans="1:8" x14ac:dyDescent="0.3">
      <c r="A261" s="23" t="s">
        <v>806</v>
      </c>
      <c r="B261" s="23" t="s">
        <v>807</v>
      </c>
      <c r="C261" s="26">
        <v>147736800000</v>
      </c>
      <c r="D261" s="23" t="s">
        <v>808</v>
      </c>
      <c r="E261" s="23" t="s">
        <v>34</v>
      </c>
      <c r="F261" s="26">
        <v>152454.25</v>
      </c>
      <c r="G261" s="23" t="s">
        <v>35</v>
      </c>
      <c r="H261" s="23">
        <v>10</v>
      </c>
    </row>
    <row r="262" spans="1:8" x14ac:dyDescent="0.3">
      <c r="A262" s="23" t="s">
        <v>809</v>
      </c>
      <c r="B262" s="23" t="s">
        <v>810</v>
      </c>
      <c r="C262" s="26">
        <v>148774020000</v>
      </c>
      <c r="D262" s="23" t="s">
        <v>39</v>
      </c>
      <c r="E262" s="23" t="s">
        <v>40</v>
      </c>
      <c r="F262" s="26" t="s">
        <v>41</v>
      </c>
      <c r="G262" s="23" t="s">
        <v>42</v>
      </c>
      <c r="H262" s="23">
        <v>10</v>
      </c>
    </row>
    <row r="263" spans="1:8" x14ac:dyDescent="0.3">
      <c r="A263" s="23" t="s">
        <v>811</v>
      </c>
      <c r="B263" s="23" t="s">
        <v>812</v>
      </c>
      <c r="C263" s="26">
        <v>149811240000</v>
      </c>
      <c r="D263" s="23" t="s">
        <v>813</v>
      </c>
      <c r="E263" s="23" t="s">
        <v>47</v>
      </c>
      <c r="F263" s="26">
        <v>-113379.33333333299</v>
      </c>
      <c r="G263" s="23" t="s">
        <v>48</v>
      </c>
      <c r="H263" s="23">
        <v>10</v>
      </c>
    </row>
    <row r="264" spans="1:8" x14ac:dyDescent="0.3">
      <c r="A264" s="23" t="s">
        <v>814</v>
      </c>
      <c r="B264" s="23" t="s">
        <v>815</v>
      </c>
      <c r="C264" s="26">
        <v>150848460000</v>
      </c>
      <c r="D264" s="23" t="s">
        <v>816</v>
      </c>
      <c r="E264" s="23" t="s">
        <v>52</v>
      </c>
      <c r="F264" s="26">
        <v>-126366.33333333299</v>
      </c>
      <c r="G264" s="23" t="s">
        <v>35</v>
      </c>
      <c r="H264" s="23">
        <v>20</v>
      </c>
    </row>
    <row r="265" spans="1:8" x14ac:dyDescent="0.3">
      <c r="A265" s="23" t="s">
        <v>817</v>
      </c>
      <c r="B265" s="23" t="s">
        <v>818</v>
      </c>
      <c r="C265" s="26">
        <v>151885680000</v>
      </c>
      <c r="D265" s="23" t="s">
        <v>819</v>
      </c>
      <c r="E265" s="23" t="s">
        <v>56</v>
      </c>
      <c r="F265" s="26">
        <v>-139353.33333333299</v>
      </c>
      <c r="G265" s="23" t="s">
        <v>57</v>
      </c>
      <c r="H265" s="23">
        <v>20</v>
      </c>
    </row>
    <row r="266" spans="1:8" x14ac:dyDescent="0.3">
      <c r="A266" s="23" t="s">
        <v>820</v>
      </c>
      <c r="B266" s="23" t="s">
        <v>821</v>
      </c>
      <c r="C266" s="26">
        <v>152922900000</v>
      </c>
      <c r="D266" s="23" t="s">
        <v>822</v>
      </c>
      <c r="E266" s="23" t="s">
        <v>62</v>
      </c>
      <c r="F266" s="26" t="s">
        <v>823</v>
      </c>
      <c r="G266" s="23" t="s">
        <v>64</v>
      </c>
      <c r="H266" s="23">
        <v>10</v>
      </c>
    </row>
    <row r="267" spans="1:8" x14ac:dyDescent="0.3">
      <c r="A267" s="23" t="s">
        <v>824</v>
      </c>
      <c r="B267" s="23" t="s">
        <v>825</v>
      </c>
      <c r="C267" s="26">
        <v>153960120000</v>
      </c>
      <c r="D267" s="23" t="s">
        <v>826</v>
      </c>
      <c r="E267" s="23" t="s">
        <v>69</v>
      </c>
      <c r="F267" s="26">
        <v>178009.60714285899</v>
      </c>
      <c r="G267" s="23" t="s">
        <v>57</v>
      </c>
      <c r="H267" s="23">
        <v>10</v>
      </c>
    </row>
    <row r="268" spans="1:8" x14ac:dyDescent="0.3">
      <c r="A268" s="23" t="s">
        <v>827</v>
      </c>
      <c r="B268" s="23" t="s">
        <v>828</v>
      </c>
      <c r="C268" s="26">
        <v>154997340000</v>
      </c>
      <c r="D268" s="23" t="s">
        <v>73</v>
      </c>
      <c r="E268" s="23" t="s">
        <v>74</v>
      </c>
      <c r="F268" s="26">
        <v>183738.14285714499</v>
      </c>
      <c r="G268" s="23" t="s">
        <v>30</v>
      </c>
      <c r="H268" s="23">
        <v>10</v>
      </c>
    </row>
    <row r="269" spans="1:8" x14ac:dyDescent="0.3">
      <c r="A269" s="23" t="s">
        <v>829</v>
      </c>
      <c r="B269" s="23" t="s">
        <v>830</v>
      </c>
      <c r="C269" s="26">
        <v>156034560000</v>
      </c>
      <c r="D269" s="23" t="s">
        <v>831</v>
      </c>
      <c r="E269" s="23" t="s">
        <v>78</v>
      </c>
      <c r="F269" s="26">
        <v>189466.678571431</v>
      </c>
      <c r="G269" s="23" t="s">
        <v>35</v>
      </c>
      <c r="H269" s="23">
        <v>20</v>
      </c>
    </row>
    <row r="270" spans="1:8" x14ac:dyDescent="0.3">
      <c r="A270" s="23" t="s">
        <v>832</v>
      </c>
      <c r="B270" s="23" t="s">
        <v>833</v>
      </c>
      <c r="C270" s="26">
        <v>157071780000</v>
      </c>
      <c r="D270" s="23" t="s">
        <v>834</v>
      </c>
      <c r="E270" s="23" t="s">
        <v>83</v>
      </c>
      <c r="F270" s="26">
        <v>195195.214285717</v>
      </c>
      <c r="G270" s="23" t="s">
        <v>84</v>
      </c>
      <c r="H270" s="23">
        <v>20</v>
      </c>
    </row>
    <row r="271" spans="1:8" x14ac:dyDescent="0.3">
      <c r="A271" s="23" t="s">
        <v>835</v>
      </c>
      <c r="B271" s="23" t="s">
        <v>836</v>
      </c>
      <c r="C271" s="26" t="s">
        <v>837</v>
      </c>
      <c r="D271" s="23" t="s">
        <v>28</v>
      </c>
      <c r="E271" s="23" t="s">
        <v>29</v>
      </c>
      <c r="F271" s="26">
        <v>83318</v>
      </c>
      <c r="G271" s="23" t="s">
        <v>30</v>
      </c>
      <c r="H271" s="23">
        <v>10</v>
      </c>
    </row>
    <row r="272" spans="1:8" x14ac:dyDescent="0.3">
      <c r="A272" s="23" t="s">
        <v>838</v>
      </c>
      <c r="B272" s="23" t="s">
        <v>839</v>
      </c>
      <c r="C272" s="26">
        <v>5085552558</v>
      </c>
      <c r="D272" s="23" t="s">
        <v>572</v>
      </c>
      <c r="E272" s="23" t="s">
        <v>34</v>
      </c>
      <c r="F272" s="26">
        <v>89871</v>
      </c>
      <c r="G272" s="23" t="s">
        <v>35</v>
      </c>
      <c r="H272" s="23">
        <v>20</v>
      </c>
    </row>
    <row r="273" spans="1:8" x14ac:dyDescent="0.3">
      <c r="A273" s="23" t="s">
        <v>840</v>
      </c>
      <c r="B273" s="23" t="s">
        <v>841</v>
      </c>
      <c r="C273" s="26" t="s">
        <v>842</v>
      </c>
      <c r="D273" s="23" t="s">
        <v>39</v>
      </c>
      <c r="E273" s="23" t="s">
        <v>40</v>
      </c>
      <c r="F273" s="26" t="s">
        <v>41</v>
      </c>
      <c r="G273" s="23" t="s">
        <v>42</v>
      </c>
      <c r="H273" s="23">
        <v>10</v>
      </c>
    </row>
    <row r="274" spans="1:8" x14ac:dyDescent="0.3">
      <c r="A274" s="23" t="s">
        <v>843</v>
      </c>
      <c r="B274" s="23" t="s">
        <v>844</v>
      </c>
      <c r="C274" s="26" t="s">
        <v>845</v>
      </c>
      <c r="D274" s="23" t="s">
        <v>577</v>
      </c>
      <c r="E274" s="23" t="s">
        <v>47</v>
      </c>
      <c r="F274" s="26">
        <v>-74418.333333333299</v>
      </c>
      <c r="G274" s="23" t="s">
        <v>48</v>
      </c>
      <c r="H274" s="23">
        <v>10</v>
      </c>
    </row>
    <row r="275" spans="1:8" x14ac:dyDescent="0.3">
      <c r="A275" s="23" t="s">
        <v>846</v>
      </c>
      <c r="B275" s="23" t="s">
        <v>847</v>
      </c>
      <c r="C275" s="26">
        <v>-29081581445</v>
      </c>
      <c r="D275" s="23" t="s">
        <v>580</v>
      </c>
      <c r="E275" s="23" t="s">
        <v>52</v>
      </c>
      <c r="F275" s="26">
        <v>-87405.333333333299</v>
      </c>
      <c r="G275" s="23" t="s">
        <v>35</v>
      </c>
      <c r="H275" s="23">
        <v>10</v>
      </c>
    </row>
    <row r="276" spans="1:8" x14ac:dyDescent="0.3">
      <c r="A276" s="23" t="s">
        <v>848</v>
      </c>
      <c r="B276" s="23" t="s">
        <v>849</v>
      </c>
      <c r="C276" s="29">
        <v>-34957771445</v>
      </c>
      <c r="D276" s="23" t="s">
        <v>583</v>
      </c>
      <c r="E276" s="23" t="s">
        <v>56</v>
      </c>
      <c r="F276" s="26">
        <v>-100392.33333333299</v>
      </c>
      <c r="G276" s="23" t="s">
        <v>57</v>
      </c>
      <c r="H276" s="23">
        <v>20</v>
      </c>
    </row>
    <row r="277" spans="1:8" x14ac:dyDescent="0.3">
      <c r="A277" s="23" t="s">
        <v>850</v>
      </c>
      <c r="B277" s="23" t="s">
        <v>851</v>
      </c>
      <c r="C277" s="26" t="s">
        <v>852</v>
      </c>
      <c r="D277" s="23" t="s">
        <v>586</v>
      </c>
      <c r="E277" s="23" t="s">
        <v>62</v>
      </c>
      <c r="F277" s="26" t="s">
        <v>587</v>
      </c>
      <c r="G277" s="23" t="s">
        <v>64</v>
      </c>
      <c r="H277" s="23">
        <v>20</v>
      </c>
    </row>
    <row r="278" spans="1:8" x14ac:dyDescent="0.3">
      <c r="A278" s="23" t="s">
        <v>853</v>
      </c>
      <c r="B278" s="23" t="s">
        <v>854</v>
      </c>
      <c r="C278" s="26" t="s">
        <v>855</v>
      </c>
      <c r="D278" s="23" t="s">
        <v>590</v>
      </c>
      <c r="E278" s="23" t="s">
        <v>69</v>
      </c>
      <c r="F278" s="26">
        <v>172281.07142857101</v>
      </c>
      <c r="G278" s="23" t="s">
        <v>57</v>
      </c>
      <c r="H278" s="23">
        <v>20</v>
      </c>
    </row>
    <row r="279" spans="1:8" x14ac:dyDescent="0.3">
      <c r="A279" s="23" t="s">
        <v>856</v>
      </c>
      <c r="B279" s="23" t="s">
        <v>857</v>
      </c>
      <c r="C279" s="26" t="s">
        <v>858</v>
      </c>
      <c r="D279" s="23" t="s">
        <v>73</v>
      </c>
      <c r="E279" s="23" t="s">
        <v>74</v>
      </c>
      <c r="F279" s="26">
        <v>178009.60714285701</v>
      </c>
      <c r="G279" s="23" t="s">
        <v>30</v>
      </c>
      <c r="H279" s="23">
        <v>20</v>
      </c>
    </row>
    <row r="280" spans="1:8" x14ac:dyDescent="0.3">
      <c r="A280" s="23" t="s">
        <v>859</v>
      </c>
      <c r="B280" s="23" t="s">
        <v>860</v>
      </c>
      <c r="C280" s="26">
        <v>6505556812</v>
      </c>
      <c r="D280" s="23" t="s">
        <v>595</v>
      </c>
      <c r="E280" s="23" t="s">
        <v>78</v>
      </c>
      <c r="F280" s="26">
        <v>183738.14285714299</v>
      </c>
      <c r="G280" s="23" t="s">
        <v>35</v>
      </c>
      <c r="H280" s="23">
        <v>10</v>
      </c>
    </row>
    <row r="281" spans="1:8" x14ac:dyDescent="0.3">
      <c r="A281" s="23" t="s">
        <v>861</v>
      </c>
      <c r="B281" s="23" t="s">
        <v>862</v>
      </c>
      <c r="C281" s="26" t="s">
        <v>863</v>
      </c>
      <c r="D281" s="23" t="s">
        <v>598</v>
      </c>
      <c r="E281" s="23" t="s">
        <v>83</v>
      </c>
      <c r="F281" s="26">
        <v>189466.678571428</v>
      </c>
      <c r="G281" s="23" t="s">
        <v>84</v>
      </c>
      <c r="H281" s="23">
        <v>20</v>
      </c>
    </row>
    <row r="282" spans="1:8" x14ac:dyDescent="0.3">
      <c r="A282" s="23" t="s">
        <v>864</v>
      </c>
      <c r="B282" s="23" t="s">
        <v>865</v>
      </c>
      <c r="C282" s="26" t="s">
        <v>866</v>
      </c>
      <c r="D282" s="23" t="s">
        <v>725</v>
      </c>
      <c r="E282" s="23" t="s">
        <v>74</v>
      </c>
      <c r="F282" s="26">
        <v>195195.214285714</v>
      </c>
      <c r="G282" s="23" t="s">
        <v>30</v>
      </c>
      <c r="H282" s="23">
        <v>20</v>
      </c>
    </row>
    <row r="283" spans="1:8" x14ac:dyDescent="0.3">
      <c r="A283" s="23" t="s">
        <v>867</v>
      </c>
      <c r="B283" s="23" t="s">
        <v>868</v>
      </c>
      <c r="C283" s="26">
        <v>16625589035</v>
      </c>
      <c r="D283" s="23" t="s">
        <v>728</v>
      </c>
      <c r="E283" s="23" t="s">
        <v>92</v>
      </c>
      <c r="F283" s="26">
        <v>200923.75</v>
      </c>
      <c r="G283" s="23" t="s">
        <v>35</v>
      </c>
      <c r="H283" s="23">
        <v>20</v>
      </c>
    </row>
    <row r="284" spans="1:8" x14ac:dyDescent="0.3">
      <c r="A284" s="23" t="s">
        <v>869</v>
      </c>
      <c r="B284" s="23" t="s">
        <v>870</v>
      </c>
      <c r="C284" s="26">
        <v>18715594931</v>
      </c>
      <c r="D284" s="23" t="s">
        <v>731</v>
      </c>
      <c r="E284" s="23" t="s">
        <v>96</v>
      </c>
      <c r="F284" s="26">
        <v>206652.28571428501</v>
      </c>
      <c r="G284" s="23" t="s">
        <v>35</v>
      </c>
      <c r="H284" s="23">
        <v>10</v>
      </c>
    </row>
    <row r="285" spans="1:8" x14ac:dyDescent="0.3">
      <c r="A285" s="23" t="s">
        <v>871</v>
      </c>
      <c r="B285" s="23" t="s">
        <v>872</v>
      </c>
      <c r="C285" s="26" t="s">
        <v>873</v>
      </c>
      <c r="D285" s="23" t="s">
        <v>100</v>
      </c>
      <c r="E285" s="23" t="s">
        <v>101</v>
      </c>
      <c r="F285" s="26" t="s">
        <v>734</v>
      </c>
      <c r="G285" s="23" t="s">
        <v>84</v>
      </c>
      <c r="H285" s="23">
        <v>20</v>
      </c>
    </row>
    <row r="286" spans="1:8" x14ac:dyDescent="0.3">
      <c r="A286" s="23" t="s">
        <v>874</v>
      </c>
      <c r="B286" s="23" t="s">
        <v>875</v>
      </c>
      <c r="C286" s="26" t="s">
        <v>876</v>
      </c>
      <c r="D286" s="23" t="s">
        <v>737</v>
      </c>
      <c r="E286" s="23" t="s">
        <v>107</v>
      </c>
      <c r="F286" s="26" t="s">
        <v>738</v>
      </c>
      <c r="G286" s="23" t="s">
        <v>109</v>
      </c>
      <c r="H286" s="23">
        <v>10</v>
      </c>
    </row>
    <row r="287" spans="1:8" x14ac:dyDescent="0.3">
      <c r="A287" s="23" t="s">
        <v>877</v>
      </c>
      <c r="B287" s="23" t="s">
        <v>878</v>
      </c>
      <c r="C287" s="26" t="s">
        <v>879</v>
      </c>
      <c r="D287" s="23" t="s">
        <v>741</v>
      </c>
      <c r="E287" s="23" t="s">
        <v>114</v>
      </c>
      <c r="F287" s="26">
        <v>436882.66666666698</v>
      </c>
      <c r="G287" s="23" t="s">
        <v>115</v>
      </c>
      <c r="H287" s="23">
        <v>20</v>
      </c>
    </row>
    <row r="288" spans="1:8" x14ac:dyDescent="0.3">
      <c r="A288" s="23" t="s">
        <v>880</v>
      </c>
      <c r="B288" s="23" t="s">
        <v>881</v>
      </c>
      <c r="C288" s="26">
        <v>-8564441830</v>
      </c>
      <c r="D288" s="23" t="s">
        <v>744</v>
      </c>
      <c r="E288" s="23" t="s">
        <v>119</v>
      </c>
      <c r="F288" s="26">
        <v>483153.66666666698</v>
      </c>
      <c r="G288" s="23" t="s">
        <v>35</v>
      </c>
      <c r="H288" s="23">
        <v>20</v>
      </c>
    </row>
    <row r="289" spans="1:8" x14ac:dyDescent="0.3">
      <c r="A289" s="23" t="s">
        <v>882</v>
      </c>
      <c r="B289" s="23" t="s">
        <v>883</v>
      </c>
      <c r="C289" s="26">
        <v>-10684440710</v>
      </c>
      <c r="D289" s="23" t="s">
        <v>747</v>
      </c>
      <c r="E289" s="23" t="s">
        <v>123</v>
      </c>
      <c r="F289" s="26">
        <v>529424.66666666698</v>
      </c>
      <c r="G289" s="23" t="s">
        <v>35</v>
      </c>
      <c r="H289" s="23">
        <v>10</v>
      </c>
    </row>
    <row r="290" spans="1:8" x14ac:dyDescent="0.3">
      <c r="A290" s="23" t="s">
        <v>884</v>
      </c>
      <c r="B290" s="23" t="s">
        <v>885</v>
      </c>
      <c r="C290" s="26" t="s">
        <v>886</v>
      </c>
      <c r="D290" s="23" t="s">
        <v>127</v>
      </c>
      <c r="E290" s="23" t="s">
        <v>128</v>
      </c>
      <c r="F290" s="26" t="s">
        <v>750</v>
      </c>
      <c r="G290" s="23" t="s">
        <v>130</v>
      </c>
      <c r="H290" s="23">
        <v>20</v>
      </c>
    </row>
    <row r="291" spans="1:8" x14ac:dyDescent="0.3">
      <c r="A291" s="23" t="s">
        <v>887</v>
      </c>
      <c r="B291" s="23" t="s">
        <v>888</v>
      </c>
      <c r="C291" s="26">
        <v>3105552376</v>
      </c>
      <c r="D291" s="23" t="s">
        <v>753</v>
      </c>
      <c r="E291" s="23" t="s">
        <v>134</v>
      </c>
      <c r="F291" s="26">
        <v>-37844.145454545302</v>
      </c>
      <c r="G291" s="23" t="s">
        <v>35</v>
      </c>
      <c r="H291" s="23">
        <v>10</v>
      </c>
    </row>
    <row r="292" spans="1:8" x14ac:dyDescent="0.3">
      <c r="A292" s="23" t="s">
        <v>889</v>
      </c>
      <c r="B292" s="23" t="s">
        <v>890</v>
      </c>
      <c r="C292" s="26" t="s">
        <v>891</v>
      </c>
      <c r="D292" s="23" t="s">
        <v>756</v>
      </c>
      <c r="E292" s="23" t="s">
        <v>139</v>
      </c>
      <c r="F292" s="26">
        <v>-41244.406060606299</v>
      </c>
      <c r="G292" s="23" t="s">
        <v>84</v>
      </c>
      <c r="H292" s="23">
        <v>10</v>
      </c>
    </row>
    <row r="293" spans="1:8" x14ac:dyDescent="0.3">
      <c r="A293" s="23" t="s">
        <v>892</v>
      </c>
      <c r="B293" s="23" t="s">
        <v>893</v>
      </c>
      <c r="C293" s="26" t="s">
        <v>894</v>
      </c>
      <c r="D293" s="23" t="s">
        <v>143</v>
      </c>
      <c r="E293" s="23" t="s">
        <v>144</v>
      </c>
      <c r="F293" s="26">
        <v>-44644.6666666663</v>
      </c>
      <c r="G293" s="23" t="s">
        <v>30</v>
      </c>
      <c r="H293" s="23">
        <v>10</v>
      </c>
    </row>
    <row r="294" spans="1:8" x14ac:dyDescent="0.3">
      <c r="A294" s="23" t="s">
        <v>895</v>
      </c>
      <c r="B294" s="23" t="s">
        <v>896</v>
      </c>
      <c r="C294" s="26">
        <v>5085559558</v>
      </c>
      <c r="D294" s="23" t="s">
        <v>761</v>
      </c>
      <c r="E294" s="23" t="s">
        <v>34</v>
      </c>
      <c r="F294" s="26">
        <v>-48044.927272727298</v>
      </c>
      <c r="G294" s="23" t="s">
        <v>35</v>
      </c>
      <c r="H294" s="23">
        <v>20</v>
      </c>
    </row>
    <row r="295" spans="1:8" x14ac:dyDescent="0.3">
      <c r="A295" s="23" t="s">
        <v>897</v>
      </c>
      <c r="B295" s="23" t="s">
        <v>898</v>
      </c>
      <c r="C295" s="26" t="s">
        <v>899</v>
      </c>
      <c r="D295" s="23" t="s">
        <v>764</v>
      </c>
      <c r="E295" s="23" t="s">
        <v>152</v>
      </c>
      <c r="F295" s="26">
        <v>-51445.187878788303</v>
      </c>
      <c r="G295" s="23" t="s">
        <v>153</v>
      </c>
      <c r="H295" s="23">
        <v>20</v>
      </c>
    </row>
    <row r="296" spans="1:8" x14ac:dyDescent="0.3">
      <c r="A296" s="23" t="s">
        <v>900</v>
      </c>
      <c r="B296" s="23" t="s">
        <v>901</v>
      </c>
      <c r="C296" s="26">
        <v>26815585815</v>
      </c>
      <c r="D296" s="23" t="s">
        <v>767</v>
      </c>
      <c r="E296" s="23" t="s">
        <v>157</v>
      </c>
      <c r="F296" s="26">
        <v>-54845.448484848297</v>
      </c>
      <c r="G296" s="23" t="s">
        <v>35</v>
      </c>
      <c r="H296" s="23">
        <v>10</v>
      </c>
    </row>
    <row r="297" spans="1:8" x14ac:dyDescent="0.3">
      <c r="A297" s="23" t="s">
        <v>902</v>
      </c>
      <c r="B297" s="23" t="s">
        <v>903</v>
      </c>
      <c r="C297" s="26">
        <v>30925591525</v>
      </c>
      <c r="D297" s="23" t="s">
        <v>160</v>
      </c>
      <c r="E297" s="23" t="s">
        <v>161</v>
      </c>
      <c r="F297" s="26">
        <v>-58245.709090909302</v>
      </c>
      <c r="G297" s="23" t="s">
        <v>35</v>
      </c>
      <c r="H297" s="23">
        <v>10</v>
      </c>
    </row>
    <row r="298" spans="1:8" x14ac:dyDescent="0.3">
      <c r="A298" s="23" t="s">
        <v>904</v>
      </c>
      <c r="B298" s="23" t="s">
        <v>905</v>
      </c>
      <c r="C298" s="26" t="s">
        <v>906</v>
      </c>
      <c r="D298" s="23" t="s">
        <v>772</v>
      </c>
      <c r="E298" s="23" t="s">
        <v>166</v>
      </c>
      <c r="F298" s="26">
        <v>-61645.969696969303</v>
      </c>
      <c r="G298" s="23" t="s">
        <v>30</v>
      </c>
      <c r="H298" s="23">
        <v>10</v>
      </c>
    </row>
    <row r="299" spans="1:8" x14ac:dyDescent="0.3">
      <c r="A299" s="23" t="s">
        <v>907</v>
      </c>
      <c r="B299" s="23" t="s">
        <v>908</v>
      </c>
      <c r="C299" s="26" t="s">
        <v>909</v>
      </c>
      <c r="D299" s="23" t="s">
        <v>775</v>
      </c>
      <c r="E299" s="23" t="s">
        <v>171</v>
      </c>
      <c r="F299" s="26">
        <v>-65046.230303030301</v>
      </c>
      <c r="G299" s="23" t="s">
        <v>172</v>
      </c>
      <c r="H299" s="23">
        <v>20</v>
      </c>
    </row>
    <row r="300" spans="1:8" x14ac:dyDescent="0.3">
      <c r="A300" s="23" t="s">
        <v>910</v>
      </c>
      <c r="B300" s="23" t="s">
        <v>911</v>
      </c>
      <c r="C300" s="26" t="s">
        <v>912</v>
      </c>
      <c r="D300" s="23" t="s">
        <v>176</v>
      </c>
      <c r="E300" s="23" t="s">
        <v>177</v>
      </c>
      <c r="F300" s="26">
        <v>-68446.490909091299</v>
      </c>
      <c r="G300" s="23" t="s">
        <v>57</v>
      </c>
      <c r="H300" s="23">
        <v>10</v>
      </c>
    </row>
    <row r="301" spans="1:8" x14ac:dyDescent="0.3">
      <c r="A301" s="23" t="s">
        <v>913</v>
      </c>
      <c r="B301" s="23" t="s">
        <v>914</v>
      </c>
      <c r="C301" s="26" t="s">
        <v>915</v>
      </c>
      <c r="D301" s="23" t="s">
        <v>780</v>
      </c>
      <c r="E301" s="23" t="s">
        <v>182</v>
      </c>
      <c r="F301" s="26" t="s">
        <v>781</v>
      </c>
      <c r="G301" s="23" t="s">
        <v>184</v>
      </c>
      <c r="H301" s="23">
        <v>10</v>
      </c>
    </row>
    <row r="302" spans="1:8" x14ac:dyDescent="0.3">
      <c r="A302" s="23" t="s">
        <v>916</v>
      </c>
      <c r="B302" s="23" t="s">
        <v>917</v>
      </c>
      <c r="C302" s="29">
        <v>8832148325</v>
      </c>
      <c r="D302" s="23" t="s">
        <v>187</v>
      </c>
      <c r="E302" s="23" t="s">
        <v>188</v>
      </c>
      <c r="F302" s="26">
        <v>218889</v>
      </c>
      <c r="G302" s="23" t="s">
        <v>188</v>
      </c>
      <c r="H302" s="23">
        <v>10</v>
      </c>
    </row>
    <row r="303" spans="1:8" x14ac:dyDescent="0.3">
      <c r="A303" s="23" t="s">
        <v>918</v>
      </c>
      <c r="B303" s="23" t="s">
        <v>919</v>
      </c>
      <c r="C303" s="26">
        <v>10195466120</v>
      </c>
      <c r="D303" s="23" t="s">
        <v>786</v>
      </c>
      <c r="E303" s="23" t="s">
        <v>192</v>
      </c>
      <c r="F303" s="26">
        <v>243863</v>
      </c>
      <c r="G303" s="23" t="s">
        <v>35</v>
      </c>
      <c r="H303" s="23">
        <v>10</v>
      </c>
    </row>
    <row r="304" spans="1:8" x14ac:dyDescent="0.3">
      <c r="A304" s="23" t="s">
        <v>920</v>
      </c>
      <c r="B304" s="23" t="s">
        <v>921</v>
      </c>
      <c r="C304" s="26" t="s">
        <v>922</v>
      </c>
      <c r="D304" s="23" t="s">
        <v>789</v>
      </c>
      <c r="E304" s="23" t="s">
        <v>197</v>
      </c>
      <c r="F304" s="26" t="s">
        <v>790</v>
      </c>
      <c r="G304" s="23" t="s">
        <v>184</v>
      </c>
      <c r="H304" s="23">
        <v>10</v>
      </c>
    </row>
    <row r="305" spans="1:8" x14ac:dyDescent="0.3">
      <c r="A305" s="23" t="s">
        <v>923</v>
      </c>
      <c r="B305" s="23" t="s">
        <v>924</v>
      </c>
      <c r="C305" s="26" t="s">
        <v>925</v>
      </c>
      <c r="D305" s="23" t="s">
        <v>793</v>
      </c>
      <c r="E305" s="23" t="s">
        <v>203</v>
      </c>
      <c r="F305" s="26">
        <v>181805.42857142899</v>
      </c>
      <c r="G305" s="23" t="s">
        <v>115</v>
      </c>
      <c r="H305" s="23">
        <v>10</v>
      </c>
    </row>
    <row r="306" spans="1:8" x14ac:dyDescent="0.3">
      <c r="A306" s="23" t="s">
        <v>926</v>
      </c>
      <c r="B306" s="23" t="s">
        <v>927</v>
      </c>
      <c r="C306" s="26" t="s">
        <v>928</v>
      </c>
      <c r="D306" s="23" t="s">
        <v>796</v>
      </c>
      <c r="E306" s="23" t="s">
        <v>208</v>
      </c>
      <c r="F306" s="26">
        <v>189875.285714286</v>
      </c>
      <c r="G306" s="23" t="s">
        <v>57</v>
      </c>
      <c r="H306" s="23">
        <v>20</v>
      </c>
    </row>
    <row r="307" spans="1:8" x14ac:dyDescent="0.3">
      <c r="A307" s="23" t="s">
        <v>929</v>
      </c>
      <c r="B307" s="23" t="s">
        <v>930</v>
      </c>
      <c r="C307" s="29">
        <v>652217558</v>
      </c>
      <c r="D307" s="23" t="s">
        <v>211</v>
      </c>
      <c r="E307" s="23" t="s">
        <v>188</v>
      </c>
      <c r="F307" s="26">
        <v>197945.14285714299</v>
      </c>
      <c r="G307" s="23" t="s">
        <v>188</v>
      </c>
      <c r="H307" s="23">
        <v>10</v>
      </c>
    </row>
    <row r="308" spans="1:8" x14ac:dyDescent="0.3">
      <c r="A308" s="23" t="s">
        <v>931</v>
      </c>
      <c r="B308" s="23" t="s">
        <v>932</v>
      </c>
      <c r="C308" s="26" t="s">
        <v>933</v>
      </c>
      <c r="D308" s="23" t="s">
        <v>215</v>
      </c>
      <c r="E308" s="23" t="s">
        <v>216</v>
      </c>
      <c r="F308" s="26">
        <v>206015</v>
      </c>
      <c r="G308" s="23" t="s">
        <v>30</v>
      </c>
      <c r="H308" s="23">
        <v>10</v>
      </c>
    </row>
    <row r="309" spans="1:8" x14ac:dyDescent="0.3">
      <c r="A309" s="23" t="s">
        <v>934</v>
      </c>
      <c r="B309" s="23" t="s">
        <v>935</v>
      </c>
      <c r="C309" s="26" t="s">
        <v>936</v>
      </c>
      <c r="D309" s="23" t="s">
        <v>803</v>
      </c>
      <c r="E309" s="23" t="s">
        <v>221</v>
      </c>
      <c r="F309" s="26">
        <v>214084.857142858</v>
      </c>
      <c r="G309" s="23" t="s">
        <v>30</v>
      </c>
      <c r="H309" s="23">
        <v>20</v>
      </c>
    </row>
    <row r="310" spans="1:8" x14ac:dyDescent="0.3">
      <c r="A310" s="23" t="s">
        <v>937</v>
      </c>
      <c r="B310" s="23" t="s">
        <v>938</v>
      </c>
      <c r="C310" s="26">
        <v>158109000000</v>
      </c>
      <c r="D310" s="23" t="s">
        <v>28</v>
      </c>
      <c r="E310" s="23" t="s">
        <v>29</v>
      </c>
      <c r="F310" s="26">
        <v>222154.71428571499</v>
      </c>
      <c r="G310" s="23" t="s">
        <v>30</v>
      </c>
      <c r="H310" s="23">
        <v>10</v>
      </c>
    </row>
    <row r="311" spans="1:8" x14ac:dyDescent="0.3">
      <c r="A311" s="23" t="s">
        <v>939</v>
      </c>
      <c r="B311" s="23" t="s">
        <v>940</v>
      </c>
      <c r="C311" s="26">
        <v>159146220000</v>
      </c>
      <c r="D311" s="23" t="s">
        <v>808</v>
      </c>
      <c r="E311" s="23" t="s">
        <v>34</v>
      </c>
      <c r="F311" s="26">
        <v>230224.571428572</v>
      </c>
      <c r="G311" s="23" t="s">
        <v>35</v>
      </c>
      <c r="H311" s="23">
        <v>10</v>
      </c>
    </row>
    <row r="312" spans="1:8" x14ac:dyDescent="0.3">
      <c r="A312" s="23" t="s">
        <v>941</v>
      </c>
      <c r="B312" s="23" t="s">
        <v>942</v>
      </c>
      <c r="C312" s="26">
        <v>160183440000</v>
      </c>
      <c r="D312" s="23" t="s">
        <v>39</v>
      </c>
      <c r="E312" s="23" t="s">
        <v>40</v>
      </c>
      <c r="F312" s="26" t="s">
        <v>41</v>
      </c>
      <c r="G312" s="23" t="s">
        <v>42</v>
      </c>
      <c r="H312" s="23">
        <v>20</v>
      </c>
    </row>
    <row r="313" spans="1:8" x14ac:dyDescent="0.3">
      <c r="A313" s="23" t="s">
        <v>943</v>
      </c>
      <c r="B313" s="23" t="s">
        <v>944</v>
      </c>
      <c r="C313" s="26">
        <v>161220660000</v>
      </c>
      <c r="D313" s="23" t="s">
        <v>813</v>
      </c>
      <c r="E313" s="23" t="s">
        <v>47</v>
      </c>
      <c r="F313" s="26">
        <v>-113379.33333333299</v>
      </c>
      <c r="G313" s="23" t="s">
        <v>48</v>
      </c>
      <c r="H313" s="23">
        <v>20</v>
      </c>
    </row>
    <row r="314" spans="1:8" x14ac:dyDescent="0.3">
      <c r="A314" s="23" t="s">
        <v>945</v>
      </c>
      <c r="B314" s="23" t="s">
        <v>946</v>
      </c>
      <c r="C314" s="26">
        <v>162257880000</v>
      </c>
      <c r="D314" s="23" t="s">
        <v>816</v>
      </c>
      <c r="E314" s="23" t="s">
        <v>52</v>
      </c>
      <c r="F314" s="26">
        <v>-126366.33333333299</v>
      </c>
      <c r="G314" s="23" t="s">
        <v>35</v>
      </c>
      <c r="H314" s="23">
        <v>10</v>
      </c>
    </row>
    <row r="315" spans="1:8" x14ac:dyDescent="0.3">
      <c r="A315" s="23" t="s">
        <v>947</v>
      </c>
      <c r="B315" s="23" t="s">
        <v>948</v>
      </c>
      <c r="C315" s="26">
        <v>163295100000</v>
      </c>
      <c r="D315" s="23" t="s">
        <v>819</v>
      </c>
      <c r="E315" s="23" t="s">
        <v>56</v>
      </c>
      <c r="F315" s="26">
        <v>-139353.33333333299</v>
      </c>
      <c r="G315" s="23" t="s">
        <v>57</v>
      </c>
      <c r="H315" s="23">
        <v>20</v>
      </c>
    </row>
    <row r="316" spans="1:8" x14ac:dyDescent="0.3">
      <c r="A316" s="23" t="s">
        <v>949</v>
      </c>
      <c r="B316" s="23" t="s">
        <v>950</v>
      </c>
      <c r="C316" s="26">
        <v>164332320000</v>
      </c>
      <c r="D316" s="23" t="s">
        <v>822</v>
      </c>
      <c r="E316" s="23" t="s">
        <v>62</v>
      </c>
      <c r="F316" s="26" t="s">
        <v>823</v>
      </c>
      <c r="G316" s="23" t="s">
        <v>64</v>
      </c>
      <c r="H316" s="23">
        <v>20</v>
      </c>
    </row>
    <row r="317" spans="1:8" x14ac:dyDescent="0.3">
      <c r="A317" s="23" t="s">
        <v>951</v>
      </c>
      <c r="B317" s="23" t="s">
        <v>952</v>
      </c>
      <c r="C317" s="26">
        <v>165369540000</v>
      </c>
      <c r="D317" s="23" t="s">
        <v>826</v>
      </c>
      <c r="E317" s="23" t="s">
        <v>69</v>
      </c>
      <c r="F317" s="26">
        <v>212380.82142857101</v>
      </c>
      <c r="G317" s="23" t="s">
        <v>57</v>
      </c>
      <c r="H317" s="23">
        <v>20</v>
      </c>
    </row>
    <row r="318" spans="1:8" x14ac:dyDescent="0.3">
      <c r="A318" s="23" t="s">
        <v>953</v>
      </c>
      <c r="B318" s="23" t="s">
        <v>954</v>
      </c>
      <c r="C318" s="26">
        <v>166406760000</v>
      </c>
      <c r="D318" s="23" t="s">
        <v>73</v>
      </c>
      <c r="E318" s="23" t="s">
        <v>74</v>
      </c>
      <c r="F318" s="26">
        <v>218109.357142856</v>
      </c>
      <c r="G318" s="23" t="s">
        <v>30</v>
      </c>
      <c r="H318" s="23">
        <v>20</v>
      </c>
    </row>
    <row r="319" spans="1:8" x14ac:dyDescent="0.3">
      <c r="A319" s="23" t="s">
        <v>955</v>
      </c>
      <c r="B319" s="23" t="s">
        <v>956</v>
      </c>
      <c r="C319" s="26">
        <v>167443980000</v>
      </c>
      <c r="D319" s="23" t="s">
        <v>831</v>
      </c>
      <c r="E319" s="23" t="s">
        <v>78</v>
      </c>
      <c r="F319" s="26">
        <v>223837.892857142</v>
      </c>
      <c r="G319" s="23" t="s">
        <v>35</v>
      </c>
      <c r="H319" s="23">
        <v>30</v>
      </c>
    </row>
    <row r="320" spans="1:8" x14ac:dyDescent="0.3">
      <c r="A320" s="23" t="s">
        <v>957</v>
      </c>
      <c r="B320" s="23" t="s">
        <v>958</v>
      </c>
      <c r="C320" s="26">
        <v>168481200000</v>
      </c>
      <c r="D320" s="23" t="s">
        <v>834</v>
      </c>
      <c r="E320" s="23" t="s">
        <v>83</v>
      </c>
      <c r="F320" s="26">
        <v>229566.428571428</v>
      </c>
      <c r="G320" s="23" t="s">
        <v>84</v>
      </c>
      <c r="H320" s="23">
        <v>20</v>
      </c>
    </row>
    <row r="321" spans="1:8" x14ac:dyDescent="0.3">
      <c r="A321" s="23" t="s">
        <v>959</v>
      </c>
      <c r="B321" s="23" t="s">
        <v>960</v>
      </c>
      <c r="C321" s="26">
        <v>169518420000</v>
      </c>
      <c r="D321" s="23" t="s">
        <v>961</v>
      </c>
      <c r="E321" s="23" t="s">
        <v>74</v>
      </c>
      <c r="F321" s="26">
        <v>235294.96428571301</v>
      </c>
      <c r="G321" s="23" t="s">
        <v>30</v>
      </c>
      <c r="H321" s="23">
        <v>20</v>
      </c>
    </row>
    <row r="322" spans="1:8" x14ac:dyDescent="0.3">
      <c r="A322" s="23" t="s">
        <v>962</v>
      </c>
      <c r="B322" s="23" t="s">
        <v>963</v>
      </c>
      <c r="C322" s="26">
        <v>170555640000</v>
      </c>
      <c r="D322" s="23" t="s">
        <v>964</v>
      </c>
      <c r="E322" s="23" t="s">
        <v>92</v>
      </c>
      <c r="F322" s="26">
        <v>241023.49999999901</v>
      </c>
      <c r="G322" s="23" t="s">
        <v>35</v>
      </c>
      <c r="H322" s="23">
        <v>20</v>
      </c>
    </row>
    <row r="323" spans="1:8" x14ac:dyDescent="0.3">
      <c r="A323" s="23" t="s">
        <v>965</v>
      </c>
      <c r="B323" s="23" t="s">
        <v>966</v>
      </c>
      <c r="C323" s="26">
        <v>171592860000</v>
      </c>
      <c r="D323" s="23" t="s">
        <v>967</v>
      </c>
      <c r="E323" s="23" t="s">
        <v>96</v>
      </c>
      <c r="F323" s="26">
        <v>246752.03571428501</v>
      </c>
      <c r="G323" s="23" t="s">
        <v>35</v>
      </c>
      <c r="H323" s="23">
        <v>10</v>
      </c>
    </row>
    <row r="324" spans="1:8" x14ac:dyDescent="0.3">
      <c r="A324" s="23" t="s">
        <v>968</v>
      </c>
      <c r="B324" s="23" t="s">
        <v>969</v>
      </c>
      <c r="C324" s="26">
        <v>172630080000</v>
      </c>
      <c r="D324" s="23" t="s">
        <v>100</v>
      </c>
      <c r="E324" s="23" t="s">
        <v>101</v>
      </c>
      <c r="F324" s="26" t="s">
        <v>970</v>
      </c>
      <c r="G324" s="23" t="s">
        <v>84</v>
      </c>
      <c r="H324" s="23">
        <v>10</v>
      </c>
    </row>
    <row r="325" spans="1:8" x14ac:dyDescent="0.3">
      <c r="A325" s="23" t="s">
        <v>971</v>
      </c>
      <c r="B325" s="23" t="s">
        <v>972</v>
      </c>
      <c r="C325" s="26">
        <v>173667300000</v>
      </c>
      <c r="D325" s="23" t="s">
        <v>973</v>
      </c>
      <c r="E325" s="23" t="s">
        <v>107</v>
      </c>
      <c r="F325" s="26" t="s">
        <v>974</v>
      </c>
      <c r="G325" s="23" t="s">
        <v>109</v>
      </c>
      <c r="H325" s="23">
        <v>20</v>
      </c>
    </row>
    <row r="326" spans="1:8" x14ac:dyDescent="0.3">
      <c r="A326" s="23" t="s">
        <v>975</v>
      </c>
      <c r="B326" s="23" t="s">
        <v>976</v>
      </c>
      <c r="C326" s="26">
        <v>174704520000</v>
      </c>
      <c r="D326" s="23" t="s">
        <v>977</v>
      </c>
      <c r="E326" s="23" t="s">
        <v>114</v>
      </c>
      <c r="F326" s="26">
        <v>575695.66666666698</v>
      </c>
      <c r="G326" s="23" t="s">
        <v>115</v>
      </c>
      <c r="H326" s="23">
        <v>10</v>
      </c>
    </row>
    <row r="327" spans="1:8" x14ac:dyDescent="0.3">
      <c r="A327" s="23" t="s">
        <v>978</v>
      </c>
      <c r="B327" s="23" t="s">
        <v>979</v>
      </c>
      <c r="C327" s="26">
        <v>175741740000</v>
      </c>
      <c r="D327" s="23" t="s">
        <v>980</v>
      </c>
      <c r="E327" s="23" t="s">
        <v>119</v>
      </c>
      <c r="F327" s="26">
        <v>621966.66666666698</v>
      </c>
      <c r="G327" s="23" t="s">
        <v>35</v>
      </c>
      <c r="H327" s="23">
        <v>10</v>
      </c>
    </row>
    <row r="328" spans="1:8" x14ac:dyDescent="0.3">
      <c r="A328" s="23" t="s">
        <v>981</v>
      </c>
      <c r="B328" s="23" t="s">
        <v>982</v>
      </c>
      <c r="C328" s="26">
        <v>176778960000</v>
      </c>
      <c r="D328" s="23" t="s">
        <v>983</v>
      </c>
      <c r="E328" s="23" t="s">
        <v>123</v>
      </c>
      <c r="F328" s="26">
        <v>668237.66666666698</v>
      </c>
      <c r="G328" s="23" t="s">
        <v>35</v>
      </c>
      <c r="H328" s="23">
        <v>10</v>
      </c>
    </row>
    <row r="329" spans="1:8" x14ac:dyDescent="0.3">
      <c r="A329" s="23" t="s">
        <v>984</v>
      </c>
      <c r="B329" s="23" t="s">
        <v>985</v>
      </c>
      <c r="C329" s="26">
        <v>177816180000</v>
      </c>
      <c r="D329" s="23" t="s">
        <v>127</v>
      </c>
      <c r="E329" s="23" t="s">
        <v>128</v>
      </c>
      <c r="F329" s="26" t="s">
        <v>986</v>
      </c>
      <c r="G329" s="23" t="s">
        <v>130</v>
      </c>
      <c r="H329" s="23">
        <v>10</v>
      </c>
    </row>
    <row r="330" spans="1:8" x14ac:dyDescent="0.3">
      <c r="A330" s="23" t="s">
        <v>987</v>
      </c>
      <c r="B330" s="23" t="s">
        <v>988</v>
      </c>
      <c r="C330" s="26">
        <v>178853400000</v>
      </c>
      <c r="D330" s="23" t="s">
        <v>989</v>
      </c>
      <c r="E330" s="23" t="s">
        <v>134</v>
      </c>
      <c r="F330" s="26">
        <v>-71846.751515151394</v>
      </c>
      <c r="G330" s="23" t="s">
        <v>35</v>
      </c>
      <c r="H330" s="23">
        <v>10</v>
      </c>
    </row>
    <row r="331" spans="1:8" x14ac:dyDescent="0.3">
      <c r="A331" s="23" t="s">
        <v>990</v>
      </c>
      <c r="B331" s="23" t="s">
        <v>991</v>
      </c>
      <c r="C331" s="26">
        <v>179890620000</v>
      </c>
      <c r="D331" s="23" t="s">
        <v>992</v>
      </c>
      <c r="E331" s="23" t="s">
        <v>139</v>
      </c>
      <c r="F331" s="26">
        <v>-75247.012121212407</v>
      </c>
      <c r="G331" s="23" t="s">
        <v>84</v>
      </c>
      <c r="H331" s="23">
        <v>10</v>
      </c>
    </row>
    <row r="332" spans="1:8" x14ac:dyDescent="0.3">
      <c r="A332" s="23" t="s">
        <v>993</v>
      </c>
      <c r="B332" s="23" t="s">
        <v>994</v>
      </c>
      <c r="C332" s="26">
        <v>180927840000</v>
      </c>
      <c r="D332" s="23" t="s">
        <v>143</v>
      </c>
      <c r="E332" s="23" t="s">
        <v>144</v>
      </c>
      <c r="F332" s="26">
        <v>-78647.272727272401</v>
      </c>
      <c r="G332" s="23" t="s">
        <v>30</v>
      </c>
      <c r="H332" s="23">
        <v>10</v>
      </c>
    </row>
    <row r="333" spans="1:8" x14ac:dyDescent="0.3">
      <c r="A333" s="23" t="s">
        <v>995</v>
      </c>
      <c r="B333" s="23" t="s">
        <v>996</v>
      </c>
      <c r="C333" s="26">
        <v>181965060000</v>
      </c>
      <c r="D333" s="23" t="s">
        <v>997</v>
      </c>
      <c r="E333" s="23" t="s">
        <v>34</v>
      </c>
      <c r="F333" s="26">
        <v>-82047.533333333398</v>
      </c>
      <c r="G333" s="23" t="s">
        <v>35</v>
      </c>
      <c r="H333" s="23">
        <v>10</v>
      </c>
    </row>
    <row r="334" spans="1:8" x14ac:dyDescent="0.3">
      <c r="A334" s="23" t="s">
        <v>998</v>
      </c>
      <c r="B334" s="23" t="s">
        <v>999</v>
      </c>
      <c r="C334" s="26">
        <v>183002280000</v>
      </c>
      <c r="D334" s="23" t="s">
        <v>1000</v>
      </c>
      <c r="E334" s="23" t="s">
        <v>152</v>
      </c>
      <c r="F334" s="26">
        <v>-85447.793939393407</v>
      </c>
      <c r="G334" s="23" t="s">
        <v>153</v>
      </c>
      <c r="H334" s="23">
        <v>20</v>
      </c>
    </row>
    <row r="335" spans="1:8" x14ac:dyDescent="0.3">
      <c r="A335" s="23" t="s">
        <v>1001</v>
      </c>
      <c r="B335" s="23" t="s">
        <v>1002</v>
      </c>
      <c r="C335" s="26">
        <v>184039500000</v>
      </c>
      <c r="D335" s="23" t="s">
        <v>1003</v>
      </c>
      <c r="E335" s="23" t="s">
        <v>157</v>
      </c>
      <c r="F335" s="26">
        <v>-88848.054545454404</v>
      </c>
      <c r="G335" s="23" t="s">
        <v>35</v>
      </c>
      <c r="H335" s="23">
        <v>20</v>
      </c>
    </row>
    <row r="336" spans="1:8" x14ac:dyDescent="0.3">
      <c r="A336" s="23" t="s">
        <v>1004</v>
      </c>
      <c r="B336" s="23" t="s">
        <v>1005</v>
      </c>
      <c r="C336" s="26">
        <v>185076720000</v>
      </c>
      <c r="D336" s="23" t="s">
        <v>160</v>
      </c>
      <c r="E336" s="23" t="s">
        <v>161</v>
      </c>
      <c r="F336" s="26">
        <v>-92248.315151515402</v>
      </c>
      <c r="G336" s="23" t="s">
        <v>35</v>
      </c>
      <c r="H336" s="23">
        <v>20</v>
      </c>
    </row>
    <row r="337" spans="1:8" x14ac:dyDescent="0.3">
      <c r="A337" s="23" t="s">
        <v>1006</v>
      </c>
      <c r="B337" s="23" t="s">
        <v>1007</v>
      </c>
      <c r="C337" s="26">
        <v>186113940000</v>
      </c>
      <c r="D337" s="23" t="s">
        <v>1008</v>
      </c>
      <c r="E337" s="23" t="s">
        <v>166</v>
      </c>
      <c r="F337" s="26">
        <v>-95648.575757575396</v>
      </c>
      <c r="G337" s="23" t="s">
        <v>30</v>
      </c>
      <c r="H337" s="23">
        <v>20</v>
      </c>
    </row>
    <row r="338" spans="1:8" x14ac:dyDescent="0.3">
      <c r="A338" s="23" t="s">
        <v>1009</v>
      </c>
      <c r="B338" s="23" t="s">
        <v>1010</v>
      </c>
      <c r="C338" s="26">
        <v>187151160000</v>
      </c>
      <c r="D338" s="23" t="s">
        <v>1011</v>
      </c>
      <c r="E338" s="23" t="s">
        <v>171</v>
      </c>
      <c r="F338" s="26">
        <v>-99048.836363636394</v>
      </c>
      <c r="G338" s="23" t="s">
        <v>172</v>
      </c>
      <c r="H338" s="23">
        <v>20</v>
      </c>
    </row>
    <row r="339" spans="1:8" x14ac:dyDescent="0.3">
      <c r="A339" s="23" t="s">
        <v>1012</v>
      </c>
      <c r="B339" s="23" t="s">
        <v>1013</v>
      </c>
      <c r="C339" s="26">
        <v>188188380000</v>
      </c>
      <c r="D339" s="23" t="s">
        <v>176</v>
      </c>
      <c r="E339" s="23" t="s">
        <v>177</v>
      </c>
      <c r="F339" s="26">
        <v>-102449.09696969599</v>
      </c>
      <c r="G339" s="23" t="s">
        <v>57</v>
      </c>
      <c r="H339" s="23">
        <v>10</v>
      </c>
    </row>
    <row r="340" spans="1:8" x14ac:dyDescent="0.3">
      <c r="A340" s="23" t="s">
        <v>1014</v>
      </c>
      <c r="B340" s="23" t="s">
        <v>1015</v>
      </c>
      <c r="C340" s="26">
        <v>189225600000</v>
      </c>
      <c r="D340" s="23" t="s">
        <v>1016</v>
      </c>
      <c r="E340" s="23" t="s">
        <v>182</v>
      </c>
      <c r="F340" s="26" t="s">
        <v>1017</v>
      </c>
      <c r="G340" s="23" t="s">
        <v>184</v>
      </c>
      <c r="H340" s="23">
        <v>20</v>
      </c>
    </row>
    <row r="341" spans="1:8" x14ac:dyDescent="0.3">
      <c r="A341" s="23" t="s">
        <v>1018</v>
      </c>
      <c r="B341" s="23" t="s">
        <v>1019</v>
      </c>
      <c r="C341" s="26">
        <v>190262820000</v>
      </c>
      <c r="D341" s="23" t="s">
        <v>187</v>
      </c>
      <c r="E341" s="23" t="s">
        <v>188</v>
      </c>
      <c r="F341" s="26">
        <v>268837</v>
      </c>
      <c r="G341" s="23" t="s">
        <v>188</v>
      </c>
      <c r="H341" s="23">
        <v>10</v>
      </c>
    </row>
    <row r="342" spans="1:8" x14ac:dyDescent="0.3">
      <c r="A342" s="23" t="s">
        <v>1020</v>
      </c>
      <c r="B342" s="23" t="s">
        <v>1021</v>
      </c>
      <c r="C342" s="26">
        <v>191300040000</v>
      </c>
      <c r="D342" s="23" t="s">
        <v>1022</v>
      </c>
      <c r="E342" s="23" t="s">
        <v>192</v>
      </c>
      <c r="F342" s="26">
        <v>293811</v>
      </c>
      <c r="G342" s="23" t="s">
        <v>35</v>
      </c>
      <c r="H342" s="23">
        <v>10</v>
      </c>
    </row>
    <row r="343" spans="1:8" x14ac:dyDescent="0.3">
      <c r="A343" s="23" t="s">
        <v>1023</v>
      </c>
      <c r="B343" s="23" t="s">
        <v>1024</v>
      </c>
      <c r="C343" s="26">
        <v>192337260000</v>
      </c>
      <c r="D343" s="23" t="s">
        <v>1025</v>
      </c>
      <c r="E343" s="23" t="s">
        <v>197</v>
      </c>
      <c r="F343" s="26" t="s">
        <v>1026</v>
      </c>
      <c r="G343" s="23" t="s">
        <v>184</v>
      </c>
      <c r="H343" s="23">
        <v>20</v>
      </c>
    </row>
    <row r="344" spans="1:8" x14ac:dyDescent="0.3">
      <c r="A344" s="23" t="s">
        <v>1027</v>
      </c>
      <c r="B344" s="23" t="s">
        <v>1028</v>
      </c>
      <c r="C344" s="26">
        <v>193374480000</v>
      </c>
      <c r="D344" s="23" t="s">
        <v>1029</v>
      </c>
      <c r="E344" s="23" t="s">
        <v>203</v>
      </c>
      <c r="F344" s="26">
        <v>157878.92857142899</v>
      </c>
      <c r="G344" s="23" t="s">
        <v>115</v>
      </c>
      <c r="H344" s="23">
        <v>20</v>
      </c>
    </row>
    <row r="345" spans="1:8" x14ac:dyDescent="0.3">
      <c r="A345" s="23" t="s">
        <v>1030</v>
      </c>
      <c r="B345" s="23" t="s">
        <v>1031</v>
      </c>
      <c r="C345" s="26">
        <v>194411700000</v>
      </c>
      <c r="D345" s="23" t="s">
        <v>1032</v>
      </c>
      <c r="E345" s="23" t="s">
        <v>208</v>
      </c>
      <c r="F345" s="26">
        <v>163303.607142858</v>
      </c>
      <c r="G345" s="23" t="s">
        <v>57</v>
      </c>
      <c r="H345" s="23">
        <v>10</v>
      </c>
    </row>
    <row r="346" spans="1:8" x14ac:dyDescent="0.3">
      <c r="A346" s="23" t="s">
        <v>1033</v>
      </c>
      <c r="B346" s="23" t="s">
        <v>1034</v>
      </c>
      <c r="C346" s="26">
        <v>195448920000</v>
      </c>
      <c r="D346" s="23" t="s">
        <v>211</v>
      </c>
      <c r="E346" s="23" t="s">
        <v>188</v>
      </c>
      <c r="F346" s="26">
        <v>168728.285714286</v>
      </c>
      <c r="G346" s="23" t="s">
        <v>188</v>
      </c>
      <c r="H346" s="23">
        <v>30</v>
      </c>
    </row>
    <row r="347" spans="1:8" x14ac:dyDescent="0.3">
      <c r="A347" s="23" t="s">
        <v>1035</v>
      </c>
      <c r="B347" s="23" t="s">
        <v>1036</v>
      </c>
      <c r="C347" s="26">
        <v>196486140000</v>
      </c>
      <c r="D347" s="23" t="s">
        <v>215</v>
      </c>
      <c r="E347" s="23" t="s">
        <v>216</v>
      </c>
      <c r="F347" s="26">
        <v>174152.96428571499</v>
      </c>
      <c r="G347" s="23" t="s">
        <v>30</v>
      </c>
      <c r="H347" s="23">
        <v>10</v>
      </c>
    </row>
    <row r="348" spans="1:8" x14ac:dyDescent="0.3">
      <c r="A348" s="23" t="s">
        <v>1037</v>
      </c>
      <c r="B348" s="23" t="s">
        <v>1038</v>
      </c>
      <c r="C348" s="26">
        <v>197523360000</v>
      </c>
      <c r="D348" s="23" t="s">
        <v>1039</v>
      </c>
      <c r="E348" s="23" t="s">
        <v>221</v>
      </c>
      <c r="F348" s="26">
        <v>179577.64285714299</v>
      </c>
      <c r="G348" s="23" t="s">
        <v>30</v>
      </c>
      <c r="H348" s="23">
        <v>20</v>
      </c>
    </row>
    <row r="349" spans="1:8" x14ac:dyDescent="0.3">
      <c r="A349" s="23" t="s">
        <v>1040</v>
      </c>
      <c r="B349" s="23" t="s">
        <v>1041</v>
      </c>
      <c r="C349" s="26">
        <v>198560580000</v>
      </c>
      <c r="D349" s="23" t="s">
        <v>28</v>
      </c>
      <c r="E349" s="23" t="s">
        <v>29</v>
      </c>
      <c r="F349" s="26">
        <v>185002.321428572</v>
      </c>
      <c r="G349" s="23" t="s">
        <v>30</v>
      </c>
      <c r="H349" s="23">
        <v>10</v>
      </c>
    </row>
    <row r="350" spans="1:8" x14ac:dyDescent="0.3">
      <c r="A350" s="23" t="s">
        <v>1042</v>
      </c>
      <c r="B350" s="23" t="s">
        <v>1043</v>
      </c>
      <c r="C350" s="26">
        <v>199597800000</v>
      </c>
      <c r="D350" s="23" t="s">
        <v>1044</v>
      </c>
      <c r="E350" s="23" t="s">
        <v>34</v>
      </c>
      <c r="F350" s="26">
        <v>190427</v>
      </c>
      <c r="G350" s="23" t="s">
        <v>35</v>
      </c>
      <c r="H350" s="23">
        <v>20</v>
      </c>
    </row>
    <row r="351" spans="1:8" x14ac:dyDescent="0.3">
      <c r="A351" s="23" t="s">
        <v>1045</v>
      </c>
      <c r="B351" s="23" t="s">
        <v>1046</v>
      </c>
      <c r="C351" s="26">
        <v>200635020000</v>
      </c>
      <c r="D351" s="23" t="s">
        <v>39</v>
      </c>
      <c r="E351" s="23" t="s">
        <v>40</v>
      </c>
      <c r="F351" s="26" t="s">
        <v>41</v>
      </c>
      <c r="G351" s="23" t="s">
        <v>42</v>
      </c>
      <c r="H351" s="23">
        <v>10</v>
      </c>
    </row>
    <row r="352" spans="1:8" x14ac:dyDescent="0.3">
      <c r="A352" s="23" t="s">
        <v>1047</v>
      </c>
      <c r="B352" s="23" t="s">
        <v>1048</v>
      </c>
      <c r="C352" s="26">
        <v>201672240000</v>
      </c>
      <c r="D352" s="23" t="s">
        <v>1049</v>
      </c>
      <c r="E352" s="23" t="s">
        <v>47</v>
      </c>
      <c r="F352" s="26">
        <v>-152340.33333333299</v>
      </c>
      <c r="G352" s="23" t="s">
        <v>48</v>
      </c>
      <c r="H352" s="23">
        <v>10</v>
      </c>
    </row>
    <row r="353" spans="1:8" x14ac:dyDescent="0.3">
      <c r="A353" s="23" t="s">
        <v>1050</v>
      </c>
      <c r="B353" s="23" t="s">
        <v>1051</v>
      </c>
      <c r="C353" s="26">
        <v>202709460000</v>
      </c>
      <c r="D353" s="23" t="s">
        <v>1052</v>
      </c>
      <c r="E353" s="23" t="s">
        <v>52</v>
      </c>
      <c r="F353" s="26">
        <v>-165327.33333333299</v>
      </c>
      <c r="G353" s="23" t="s">
        <v>35</v>
      </c>
      <c r="H353" s="23">
        <v>20</v>
      </c>
    </row>
    <row r="354" spans="1:8" x14ac:dyDescent="0.3">
      <c r="A354" s="23" t="s">
        <v>1053</v>
      </c>
      <c r="B354" s="23" t="s">
        <v>1054</v>
      </c>
      <c r="C354" s="26">
        <v>203746680000</v>
      </c>
      <c r="D354" s="23" t="s">
        <v>1055</v>
      </c>
      <c r="E354" s="23" t="s">
        <v>56</v>
      </c>
      <c r="F354" s="26">
        <v>-178314.33333333299</v>
      </c>
      <c r="G354" s="23" t="s">
        <v>57</v>
      </c>
      <c r="H354" s="23">
        <v>10</v>
      </c>
    </row>
    <row r="355" spans="1:8" x14ac:dyDescent="0.3">
      <c r="A355" s="23" t="s">
        <v>1056</v>
      </c>
      <c r="B355" s="23" t="s">
        <v>1057</v>
      </c>
      <c r="C355" s="26">
        <v>204783900000</v>
      </c>
      <c r="D355" s="23" t="s">
        <v>1058</v>
      </c>
      <c r="E355" s="23" t="s">
        <v>62</v>
      </c>
      <c r="F355" s="26" t="s">
        <v>1059</v>
      </c>
      <c r="G355" s="23" t="s">
        <v>64</v>
      </c>
      <c r="H355" s="23">
        <v>30</v>
      </c>
    </row>
    <row r="356" spans="1:8" x14ac:dyDescent="0.3">
      <c r="A356" s="23" t="s">
        <v>1060</v>
      </c>
      <c r="B356" s="23" t="s">
        <v>1061</v>
      </c>
      <c r="C356" s="26">
        <v>205821120000</v>
      </c>
      <c r="D356" s="23" t="s">
        <v>1062</v>
      </c>
      <c r="E356" s="23" t="s">
        <v>69</v>
      </c>
      <c r="F356" s="26">
        <v>200923.750000003</v>
      </c>
      <c r="G356" s="23" t="s">
        <v>57</v>
      </c>
      <c r="H356" s="23">
        <v>20</v>
      </c>
    </row>
    <row r="357" spans="1:8" x14ac:dyDescent="0.3">
      <c r="A357" s="23" t="s">
        <v>1063</v>
      </c>
      <c r="B357" s="23" t="s">
        <v>1064</v>
      </c>
      <c r="C357" s="26">
        <v>206858340000</v>
      </c>
      <c r="D357" s="23" t="s">
        <v>73</v>
      </c>
      <c r="E357" s="23" t="s">
        <v>74</v>
      </c>
      <c r="F357" s="26">
        <v>206652.285714289</v>
      </c>
      <c r="G357" s="23" t="s">
        <v>30</v>
      </c>
      <c r="H357" s="23">
        <v>10</v>
      </c>
    </row>
    <row r="358" spans="1:8" x14ac:dyDescent="0.3">
      <c r="A358" s="23" t="s">
        <v>1065</v>
      </c>
      <c r="B358" s="23" t="s">
        <v>1066</v>
      </c>
      <c r="C358" s="26">
        <v>207895560000</v>
      </c>
      <c r="D358" s="23" t="s">
        <v>1067</v>
      </c>
      <c r="E358" s="23" t="s">
        <v>78</v>
      </c>
      <c r="F358" s="26">
        <v>212380.821428575</v>
      </c>
      <c r="G358" s="23" t="s">
        <v>35</v>
      </c>
      <c r="H358" s="23">
        <v>20</v>
      </c>
    </row>
    <row r="359" spans="1:8" x14ac:dyDescent="0.3">
      <c r="A359" s="23" t="s">
        <v>1068</v>
      </c>
      <c r="B359" s="23" t="s">
        <v>1069</v>
      </c>
      <c r="C359" s="26">
        <v>208932780000</v>
      </c>
      <c r="D359" s="23" t="s">
        <v>1070</v>
      </c>
      <c r="E359" s="23" t="s">
        <v>83</v>
      </c>
      <c r="F359" s="26">
        <v>218109.357142861</v>
      </c>
      <c r="G359" s="23" t="s">
        <v>84</v>
      </c>
      <c r="H359" s="23">
        <v>10</v>
      </c>
    </row>
    <row r="360" spans="1:8" x14ac:dyDescent="0.3">
      <c r="A360" s="23" t="s">
        <v>1071</v>
      </c>
      <c r="B360" s="23" t="s">
        <v>1072</v>
      </c>
      <c r="C360" s="26" t="s">
        <v>1073</v>
      </c>
      <c r="D360" s="23" t="s">
        <v>28</v>
      </c>
      <c r="E360" s="23" t="s">
        <v>29</v>
      </c>
      <c r="F360" s="26">
        <v>96424</v>
      </c>
      <c r="G360" s="23" t="s">
        <v>30</v>
      </c>
      <c r="H360" s="23">
        <v>20</v>
      </c>
    </row>
    <row r="361" spans="1:8" x14ac:dyDescent="0.3">
      <c r="A361" s="23" t="s">
        <v>1074</v>
      </c>
      <c r="B361" s="23" t="s">
        <v>1075</v>
      </c>
      <c r="C361" s="26">
        <v>5085552559</v>
      </c>
      <c r="D361" s="23" t="s">
        <v>808</v>
      </c>
      <c r="E361" s="23" t="s">
        <v>34</v>
      </c>
      <c r="F361" s="26">
        <v>102977</v>
      </c>
      <c r="G361" s="23" t="s">
        <v>35</v>
      </c>
      <c r="H361" s="23">
        <v>20</v>
      </c>
    </row>
    <row r="362" spans="1:8" x14ac:dyDescent="0.3">
      <c r="A362" s="23" t="s">
        <v>1076</v>
      </c>
      <c r="B362" s="23" t="s">
        <v>1077</v>
      </c>
      <c r="C362" s="26" t="s">
        <v>1078</v>
      </c>
      <c r="D362" s="23" t="s">
        <v>39</v>
      </c>
      <c r="E362" s="23" t="s">
        <v>40</v>
      </c>
      <c r="F362" s="26" t="s">
        <v>41</v>
      </c>
      <c r="G362" s="23" t="s">
        <v>42</v>
      </c>
      <c r="H362" s="23">
        <v>20</v>
      </c>
    </row>
    <row r="363" spans="1:8" x14ac:dyDescent="0.3">
      <c r="A363" s="23" t="s">
        <v>1079</v>
      </c>
      <c r="B363" s="23" t="s">
        <v>1080</v>
      </c>
      <c r="C363" s="26" t="s">
        <v>1081</v>
      </c>
      <c r="D363" s="23" t="s">
        <v>813</v>
      </c>
      <c r="E363" s="23" t="s">
        <v>47</v>
      </c>
      <c r="F363" s="26">
        <v>-113379.33333333299</v>
      </c>
      <c r="G363" s="23" t="s">
        <v>48</v>
      </c>
      <c r="H363" s="23">
        <v>20</v>
      </c>
    </row>
    <row r="364" spans="1:8" x14ac:dyDescent="0.3">
      <c r="A364" s="23" t="s">
        <v>1082</v>
      </c>
      <c r="B364" s="23" t="s">
        <v>1083</v>
      </c>
      <c r="C364" s="26">
        <v>-40833961445</v>
      </c>
      <c r="D364" s="23" t="s">
        <v>816</v>
      </c>
      <c r="E364" s="23" t="s">
        <v>52</v>
      </c>
      <c r="F364" s="26">
        <v>-126366.33333333299</v>
      </c>
      <c r="G364" s="23" t="s">
        <v>35</v>
      </c>
      <c r="H364" s="23">
        <v>10</v>
      </c>
    </row>
    <row r="365" spans="1:8" x14ac:dyDescent="0.3">
      <c r="A365" s="23" t="s">
        <v>1084</v>
      </c>
      <c r="B365" s="23" t="s">
        <v>1085</v>
      </c>
      <c r="C365" s="29">
        <v>-46710151445</v>
      </c>
      <c r="D365" s="23" t="s">
        <v>819</v>
      </c>
      <c r="E365" s="23" t="s">
        <v>56</v>
      </c>
      <c r="F365" s="26">
        <v>-139353.33333333299</v>
      </c>
      <c r="G365" s="23" t="s">
        <v>57</v>
      </c>
      <c r="H365" s="23">
        <v>20</v>
      </c>
    </row>
    <row r="366" spans="1:8" x14ac:dyDescent="0.3">
      <c r="A366" s="23" t="s">
        <v>1086</v>
      </c>
      <c r="B366" s="23" t="s">
        <v>1087</v>
      </c>
      <c r="C366" s="26" t="s">
        <v>1088</v>
      </c>
      <c r="D366" s="23" t="s">
        <v>822</v>
      </c>
      <c r="E366" s="23" t="s">
        <v>62</v>
      </c>
      <c r="F366" s="26" t="s">
        <v>823</v>
      </c>
      <c r="G366" s="23" t="s">
        <v>64</v>
      </c>
      <c r="H366" s="23">
        <v>30</v>
      </c>
    </row>
    <row r="367" spans="1:8" x14ac:dyDescent="0.3">
      <c r="A367" s="23" t="s">
        <v>1089</v>
      </c>
      <c r="B367" s="23" t="s">
        <v>1090</v>
      </c>
      <c r="C367" s="26" t="s">
        <v>1091</v>
      </c>
      <c r="D367" s="23" t="s">
        <v>826</v>
      </c>
      <c r="E367" s="23" t="s">
        <v>69</v>
      </c>
      <c r="F367" s="26">
        <v>212380.82142857101</v>
      </c>
      <c r="G367" s="23" t="s">
        <v>57</v>
      </c>
      <c r="H367" s="23">
        <v>20</v>
      </c>
    </row>
    <row r="368" spans="1:8" x14ac:dyDescent="0.3">
      <c r="A368" s="23" t="s">
        <v>1092</v>
      </c>
      <c r="B368" s="23" t="s">
        <v>1093</v>
      </c>
      <c r="C368" s="26" t="s">
        <v>1094</v>
      </c>
      <c r="D368" s="23" t="s">
        <v>73</v>
      </c>
      <c r="E368" s="23" t="s">
        <v>74</v>
      </c>
      <c r="F368" s="26">
        <v>218109.35714285701</v>
      </c>
      <c r="G368" s="23" t="s">
        <v>30</v>
      </c>
      <c r="H368" s="23">
        <v>20</v>
      </c>
    </row>
    <row r="369" spans="1:8" x14ac:dyDescent="0.3">
      <c r="A369" s="23" t="s">
        <v>1095</v>
      </c>
      <c r="B369" s="23" t="s">
        <v>1096</v>
      </c>
      <c r="C369" s="26">
        <v>6505556813</v>
      </c>
      <c r="D369" s="23" t="s">
        <v>831</v>
      </c>
      <c r="E369" s="23" t="s">
        <v>78</v>
      </c>
      <c r="F369" s="26">
        <v>223837.89285714299</v>
      </c>
      <c r="G369" s="23" t="s">
        <v>35</v>
      </c>
      <c r="H369" s="23">
        <v>10</v>
      </c>
    </row>
    <row r="370" spans="1:8" x14ac:dyDescent="0.3">
      <c r="A370" s="23" t="s">
        <v>1097</v>
      </c>
      <c r="B370" s="23" t="s">
        <v>1098</v>
      </c>
      <c r="C370" s="26" t="s">
        <v>1099</v>
      </c>
      <c r="D370" s="23" t="s">
        <v>834</v>
      </c>
      <c r="E370" s="23" t="s">
        <v>83</v>
      </c>
      <c r="F370" s="26">
        <v>229566.428571428</v>
      </c>
      <c r="G370" s="23" t="s">
        <v>84</v>
      </c>
      <c r="H370" s="23">
        <v>20</v>
      </c>
    </row>
    <row r="371" spans="1:8" x14ac:dyDescent="0.3">
      <c r="A371" s="23" t="s">
        <v>1100</v>
      </c>
      <c r="B371" s="23" t="s">
        <v>1101</v>
      </c>
      <c r="C371" s="26" t="s">
        <v>1102</v>
      </c>
      <c r="D371" s="23" t="s">
        <v>961</v>
      </c>
      <c r="E371" s="23" t="s">
        <v>74</v>
      </c>
      <c r="F371" s="26">
        <v>235294.964285714</v>
      </c>
      <c r="G371" s="23" t="s">
        <v>30</v>
      </c>
      <c r="H371" s="23">
        <v>10</v>
      </c>
    </row>
    <row r="372" spans="1:8" x14ac:dyDescent="0.3">
      <c r="A372" s="23" t="s">
        <v>1103</v>
      </c>
      <c r="B372" s="23" t="s">
        <v>1104</v>
      </c>
      <c r="C372" s="26">
        <v>20805600827</v>
      </c>
      <c r="D372" s="23" t="s">
        <v>964</v>
      </c>
      <c r="E372" s="23" t="s">
        <v>92</v>
      </c>
      <c r="F372" s="26">
        <v>241023.5</v>
      </c>
      <c r="G372" s="23" t="s">
        <v>35</v>
      </c>
      <c r="H372" s="23">
        <v>20</v>
      </c>
    </row>
    <row r="373" spans="1:8" x14ac:dyDescent="0.3">
      <c r="A373" s="23" t="s">
        <v>1105</v>
      </c>
      <c r="B373" s="23" t="s">
        <v>1106</v>
      </c>
      <c r="C373" s="26">
        <v>22895606723</v>
      </c>
      <c r="D373" s="23" t="s">
        <v>967</v>
      </c>
      <c r="E373" s="23" t="s">
        <v>96</v>
      </c>
      <c r="F373" s="26">
        <v>246752.03571428501</v>
      </c>
      <c r="G373" s="23" t="s">
        <v>35</v>
      </c>
      <c r="H373" s="23">
        <v>10</v>
      </c>
    </row>
    <row r="374" spans="1:8" x14ac:dyDescent="0.3">
      <c r="A374" s="23" t="s">
        <v>1107</v>
      </c>
      <c r="B374" s="23" t="s">
        <v>1108</v>
      </c>
      <c r="C374" s="26" t="s">
        <v>1109</v>
      </c>
      <c r="D374" s="23" t="s">
        <v>100</v>
      </c>
      <c r="E374" s="23" t="s">
        <v>101</v>
      </c>
      <c r="F374" s="26" t="s">
        <v>970</v>
      </c>
      <c r="G374" s="23" t="s">
        <v>84</v>
      </c>
      <c r="H374" s="23">
        <v>10</v>
      </c>
    </row>
    <row r="375" spans="1:8" x14ac:dyDescent="0.3">
      <c r="A375" s="23" t="s">
        <v>1110</v>
      </c>
      <c r="B375" s="23" t="s">
        <v>1111</v>
      </c>
      <c r="C375" s="26" t="s">
        <v>1112</v>
      </c>
      <c r="D375" s="23" t="s">
        <v>973</v>
      </c>
      <c r="E375" s="23" t="s">
        <v>107</v>
      </c>
      <c r="F375" s="26" t="s">
        <v>974</v>
      </c>
      <c r="G375" s="23" t="s">
        <v>109</v>
      </c>
      <c r="H375" s="23">
        <v>20</v>
      </c>
    </row>
    <row r="376" spans="1:8" x14ac:dyDescent="0.3">
      <c r="A376" s="23" t="s">
        <v>1113</v>
      </c>
      <c r="B376" s="23" t="s">
        <v>1114</v>
      </c>
      <c r="C376" s="26" t="s">
        <v>1115</v>
      </c>
      <c r="D376" s="23" t="s">
        <v>977</v>
      </c>
      <c r="E376" s="23" t="s">
        <v>114</v>
      </c>
      <c r="F376" s="26">
        <v>575695.66666666698</v>
      </c>
      <c r="G376" s="23" t="s">
        <v>115</v>
      </c>
      <c r="H376" s="23">
        <v>30</v>
      </c>
    </row>
    <row r="377" spans="1:8" x14ac:dyDescent="0.3">
      <c r="A377" s="23" t="s">
        <v>1116</v>
      </c>
      <c r="B377" s="23" t="s">
        <v>1117</v>
      </c>
      <c r="C377" s="26">
        <v>-12804439590</v>
      </c>
      <c r="D377" s="23" t="s">
        <v>980</v>
      </c>
      <c r="E377" s="23" t="s">
        <v>119</v>
      </c>
      <c r="F377" s="26">
        <v>621966.66666666698</v>
      </c>
      <c r="G377" s="23" t="s">
        <v>35</v>
      </c>
      <c r="H377" s="23">
        <v>10</v>
      </c>
    </row>
    <row r="378" spans="1:8" x14ac:dyDescent="0.3">
      <c r="A378" s="23" t="s">
        <v>1118</v>
      </c>
      <c r="B378" s="23" t="s">
        <v>1119</v>
      </c>
      <c r="C378" s="26">
        <v>-14924438470</v>
      </c>
      <c r="D378" s="23" t="s">
        <v>983</v>
      </c>
      <c r="E378" s="23" t="s">
        <v>123</v>
      </c>
      <c r="F378" s="26">
        <v>668237.66666666698</v>
      </c>
      <c r="G378" s="23" t="s">
        <v>35</v>
      </c>
      <c r="H378" s="23">
        <v>10</v>
      </c>
    </row>
    <row r="379" spans="1:8" x14ac:dyDescent="0.3">
      <c r="A379" s="23" t="s">
        <v>1120</v>
      </c>
      <c r="B379" s="23" t="s">
        <v>1121</v>
      </c>
      <c r="C379" s="26" t="s">
        <v>1122</v>
      </c>
      <c r="D379" s="23" t="s">
        <v>127</v>
      </c>
      <c r="E379" s="23" t="s">
        <v>128</v>
      </c>
      <c r="F379" s="26" t="s">
        <v>986</v>
      </c>
      <c r="G379" s="23" t="s">
        <v>130</v>
      </c>
      <c r="H379" s="23">
        <v>20</v>
      </c>
    </row>
    <row r="380" spans="1:8" x14ac:dyDescent="0.3">
      <c r="A380" s="23" t="s">
        <v>1123</v>
      </c>
      <c r="B380" s="23" t="s">
        <v>1124</v>
      </c>
      <c r="C380" s="26">
        <v>3105552377</v>
      </c>
      <c r="D380" s="23" t="s">
        <v>989</v>
      </c>
      <c r="E380" s="23" t="s">
        <v>134</v>
      </c>
      <c r="F380" s="26">
        <v>-71846.751515151307</v>
      </c>
      <c r="G380" s="23" t="s">
        <v>35</v>
      </c>
      <c r="H380" s="23">
        <v>10</v>
      </c>
    </row>
    <row r="381" spans="1:8" x14ac:dyDescent="0.3">
      <c r="A381" s="23" t="s">
        <v>1125</v>
      </c>
      <c r="B381" s="23" t="s">
        <v>1126</v>
      </c>
      <c r="C381" s="26" t="s">
        <v>1127</v>
      </c>
      <c r="D381" s="23" t="s">
        <v>992</v>
      </c>
      <c r="E381" s="23" t="s">
        <v>139</v>
      </c>
      <c r="F381" s="26">
        <v>-75247.012121212305</v>
      </c>
      <c r="G381" s="23" t="s">
        <v>84</v>
      </c>
      <c r="H381" s="23">
        <v>10</v>
      </c>
    </row>
    <row r="382" spans="1:8" x14ac:dyDescent="0.3">
      <c r="A382" s="23" t="s">
        <v>1128</v>
      </c>
      <c r="B382" s="23" t="s">
        <v>1129</v>
      </c>
      <c r="C382" s="26" t="s">
        <v>1130</v>
      </c>
      <c r="D382" s="23" t="s">
        <v>143</v>
      </c>
      <c r="E382" s="23" t="s">
        <v>144</v>
      </c>
      <c r="F382" s="26">
        <v>-78647.272727272299</v>
      </c>
      <c r="G382" s="23" t="s">
        <v>30</v>
      </c>
      <c r="H382" s="23">
        <v>10</v>
      </c>
    </row>
    <row r="383" spans="1:8" x14ac:dyDescent="0.3">
      <c r="A383" s="23" t="s">
        <v>1131</v>
      </c>
      <c r="B383" s="23" t="s">
        <v>1132</v>
      </c>
      <c r="C383" s="26">
        <v>5085559559</v>
      </c>
      <c r="D383" s="23" t="s">
        <v>997</v>
      </c>
      <c r="E383" s="23" t="s">
        <v>34</v>
      </c>
      <c r="F383" s="26">
        <v>-82047.533333333296</v>
      </c>
      <c r="G383" s="23" t="s">
        <v>35</v>
      </c>
      <c r="H383" s="23">
        <v>10</v>
      </c>
    </row>
    <row r="384" spans="1:8" x14ac:dyDescent="0.3">
      <c r="A384" s="23" t="s">
        <v>1133</v>
      </c>
      <c r="B384" s="23" t="s">
        <v>1134</v>
      </c>
      <c r="C384" s="26" t="s">
        <v>1135</v>
      </c>
      <c r="D384" s="23" t="s">
        <v>1000</v>
      </c>
      <c r="E384" s="23" t="s">
        <v>152</v>
      </c>
      <c r="F384" s="26">
        <v>-85447.793939394294</v>
      </c>
      <c r="G384" s="23" t="s">
        <v>153</v>
      </c>
      <c r="H384" s="23">
        <v>20</v>
      </c>
    </row>
    <row r="385" spans="1:8" x14ac:dyDescent="0.3">
      <c r="A385" s="23" t="s">
        <v>1136</v>
      </c>
      <c r="B385" s="23" t="s">
        <v>1137</v>
      </c>
      <c r="C385" s="26">
        <v>35035597235</v>
      </c>
      <c r="D385" s="23" t="s">
        <v>1003</v>
      </c>
      <c r="E385" s="23" t="s">
        <v>157</v>
      </c>
      <c r="F385" s="26">
        <v>-88848.054545454303</v>
      </c>
      <c r="G385" s="23" t="s">
        <v>35</v>
      </c>
      <c r="H385" s="23">
        <v>20</v>
      </c>
    </row>
    <row r="386" spans="1:8" x14ac:dyDescent="0.3">
      <c r="A386" s="23" t="s">
        <v>1138</v>
      </c>
      <c r="B386" s="23" t="s">
        <v>1139</v>
      </c>
      <c r="C386" s="26">
        <v>39145602945</v>
      </c>
      <c r="D386" s="23" t="s">
        <v>160</v>
      </c>
      <c r="E386" s="23" t="s">
        <v>161</v>
      </c>
      <c r="F386" s="26">
        <v>-92248.3151515153</v>
      </c>
      <c r="G386" s="23" t="s">
        <v>35</v>
      </c>
      <c r="H386" s="23">
        <v>20</v>
      </c>
    </row>
    <row r="387" spans="1:8" x14ac:dyDescent="0.3">
      <c r="A387" s="23" t="s">
        <v>1140</v>
      </c>
      <c r="B387" s="23" t="s">
        <v>1141</v>
      </c>
      <c r="C387" s="26" t="s">
        <v>1142</v>
      </c>
      <c r="D387" s="23" t="s">
        <v>1008</v>
      </c>
      <c r="E387" s="23" t="s">
        <v>166</v>
      </c>
      <c r="F387" s="26">
        <v>-95648.575757575294</v>
      </c>
      <c r="G387" s="23" t="s">
        <v>30</v>
      </c>
      <c r="H387" s="23">
        <v>10</v>
      </c>
    </row>
    <row r="388" spans="1:8" x14ac:dyDescent="0.3">
      <c r="A388" s="23" t="s">
        <v>1143</v>
      </c>
      <c r="B388" s="23" t="s">
        <v>1144</v>
      </c>
      <c r="C388" s="26" t="s">
        <v>1145</v>
      </c>
      <c r="D388" s="23" t="s">
        <v>1011</v>
      </c>
      <c r="E388" s="23" t="s">
        <v>171</v>
      </c>
      <c r="F388" s="26">
        <v>-99048.836363636306</v>
      </c>
      <c r="G388" s="23" t="s">
        <v>172</v>
      </c>
      <c r="H388" s="23">
        <v>10</v>
      </c>
    </row>
    <row r="389" spans="1:8" x14ac:dyDescent="0.3">
      <c r="A389" s="23" t="s">
        <v>1146</v>
      </c>
      <c r="B389" s="23" t="s">
        <v>1147</v>
      </c>
      <c r="C389" s="26" t="s">
        <v>1148</v>
      </c>
      <c r="D389" s="23" t="s">
        <v>176</v>
      </c>
      <c r="E389" s="23" t="s">
        <v>177</v>
      </c>
      <c r="F389" s="26">
        <v>-102449.096969697</v>
      </c>
      <c r="G389" s="23" t="s">
        <v>57</v>
      </c>
      <c r="H389" s="23">
        <v>10</v>
      </c>
    </row>
    <row r="390" spans="1:8" x14ac:dyDescent="0.3">
      <c r="A390" s="23" t="s">
        <v>1149</v>
      </c>
      <c r="B390" s="23" t="s">
        <v>1150</v>
      </c>
      <c r="C390" s="26" t="s">
        <v>1151</v>
      </c>
      <c r="D390" s="23" t="s">
        <v>1016</v>
      </c>
      <c r="E390" s="23" t="s">
        <v>182</v>
      </c>
      <c r="F390" s="26" t="s">
        <v>1017</v>
      </c>
      <c r="G390" s="23" t="s">
        <v>184</v>
      </c>
      <c r="H390" s="23">
        <v>10</v>
      </c>
    </row>
    <row r="391" spans="1:8" x14ac:dyDescent="0.3">
      <c r="A391" s="23" t="s">
        <v>1152</v>
      </c>
      <c r="B391" s="23" t="s">
        <v>1153</v>
      </c>
      <c r="C391" s="29">
        <v>11558783915</v>
      </c>
      <c r="D391" s="23" t="s">
        <v>187</v>
      </c>
      <c r="E391" s="23" t="s">
        <v>188</v>
      </c>
      <c r="F391" s="26">
        <v>268837</v>
      </c>
      <c r="G391" s="23" t="s">
        <v>188</v>
      </c>
      <c r="H391" s="23">
        <v>10</v>
      </c>
    </row>
    <row r="392" spans="1:8" x14ac:dyDescent="0.3">
      <c r="A392" s="23" t="s">
        <v>1154</v>
      </c>
      <c r="B392" s="23" t="s">
        <v>1155</v>
      </c>
      <c r="C392" s="26">
        <v>12922101710</v>
      </c>
      <c r="D392" s="23" t="s">
        <v>1022</v>
      </c>
      <c r="E392" s="23" t="s">
        <v>192</v>
      </c>
      <c r="F392" s="26">
        <v>293811</v>
      </c>
      <c r="G392" s="23" t="s">
        <v>35</v>
      </c>
      <c r="H392" s="23">
        <v>20</v>
      </c>
    </row>
    <row r="393" spans="1:8" x14ac:dyDescent="0.3">
      <c r="A393" s="23" t="s">
        <v>1156</v>
      </c>
      <c r="B393" s="23" t="s">
        <v>1157</v>
      </c>
      <c r="C393" s="26" t="s">
        <v>1158</v>
      </c>
      <c r="D393" s="23" t="s">
        <v>1025</v>
      </c>
      <c r="E393" s="23" t="s">
        <v>197</v>
      </c>
      <c r="F393" s="26" t="s">
        <v>1026</v>
      </c>
      <c r="G393" s="23" t="s">
        <v>184</v>
      </c>
      <c r="H393" s="23">
        <v>20</v>
      </c>
    </row>
    <row r="394" spans="1:8" x14ac:dyDescent="0.3">
      <c r="A394" s="23" t="s">
        <v>1159</v>
      </c>
      <c r="B394" s="23" t="s">
        <v>1160</v>
      </c>
      <c r="C394" s="26" t="s">
        <v>1161</v>
      </c>
      <c r="D394" s="23" t="s">
        <v>1029</v>
      </c>
      <c r="E394" s="23" t="s">
        <v>203</v>
      </c>
      <c r="F394" s="26">
        <v>238294.42857142899</v>
      </c>
      <c r="G394" s="23" t="s">
        <v>115</v>
      </c>
      <c r="H394" s="23">
        <v>20</v>
      </c>
    </row>
    <row r="395" spans="1:8" x14ac:dyDescent="0.3">
      <c r="A395" s="23" t="s">
        <v>1162</v>
      </c>
      <c r="B395" s="23" t="s">
        <v>1163</v>
      </c>
      <c r="C395" s="26" t="s">
        <v>1164</v>
      </c>
      <c r="D395" s="23" t="s">
        <v>1032</v>
      </c>
      <c r="E395" s="23" t="s">
        <v>208</v>
      </c>
      <c r="F395" s="26">
        <v>246364.285714286</v>
      </c>
      <c r="G395" s="23" t="s">
        <v>57</v>
      </c>
      <c r="H395" s="23">
        <v>20</v>
      </c>
    </row>
    <row r="396" spans="1:8" x14ac:dyDescent="0.3">
      <c r="A396" s="23" t="s">
        <v>1165</v>
      </c>
      <c r="B396" s="23" t="s">
        <v>1166</v>
      </c>
      <c r="C396" s="29">
        <v>652217559</v>
      </c>
      <c r="D396" s="23" t="s">
        <v>211</v>
      </c>
      <c r="E396" s="23" t="s">
        <v>188</v>
      </c>
      <c r="F396" s="26">
        <v>254434.14285714299</v>
      </c>
      <c r="G396" s="23" t="s">
        <v>188</v>
      </c>
      <c r="H396" s="23">
        <v>20</v>
      </c>
    </row>
    <row r="397" spans="1:8" x14ac:dyDescent="0.3">
      <c r="A397" s="23" t="s">
        <v>1167</v>
      </c>
      <c r="B397" s="23" t="s">
        <v>1168</v>
      </c>
      <c r="C397" s="26" t="s">
        <v>1169</v>
      </c>
      <c r="D397" s="23" t="s">
        <v>215</v>
      </c>
      <c r="E397" s="23" t="s">
        <v>216</v>
      </c>
      <c r="F397" s="26">
        <v>262504</v>
      </c>
      <c r="G397" s="23" t="s">
        <v>30</v>
      </c>
      <c r="H397" s="23">
        <v>10</v>
      </c>
    </row>
    <row r="398" spans="1:8" x14ac:dyDescent="0.3">
      <c r="A398" s="23" t="s">
        <v>1170</v>
      </c>
      <c r="B398" s="23" t="s">
        <v>1171</v>
      </c>
      <c r="C398" s="26" t="s">
        <v>1172</v>
      </c>
      <c r="D398" s="23" t="s">
        <v>1039</v>
      </c>
      <c r="E398" s="23" t="s">
        <v>221</v>
      </c>
      <c r="F398" s="26">
        <v>270573.85714285797</v>
      </c>
      <c r="G398" s="23" t="s">
        <v>30</v>
      </c>
      <c r="H398" s="23">
        <v>20</v>
      </c>
    </row>
    <row r="399" spans="1:8" x14ac:dyDescent="0.3">
      <c r="A399" s="23" t="s">
        <v>1173</v>
      </c>
      <c r="B399" s="23" t="s">
        <v>1174</v>
      </c>
      <c r="C399" s="26">
        <v>209970000000</v>
      </c>
      <c r="D399" s="23" t="s">
        <v>28</v>
      </c>
      <c r="E399" s="23" t="s">
        <v>29</v>
      </c>
      <c r="F399" s="26">
        <v>278643.71428571502</v>
      </c>
      <c r="G399" s="23" t="s">
        <v>30</v>
      </c>
      <c r="H399" s="23">
        <v>20</v>
      </c>
    </row>
    <row r="400" spans="1:8" x14ac:dyDescent="0.3">
      <c r="A400" s="23" t="s">
        <v>1175</v>
      </c>
      <c r="B400" s="23" t="s">
        <v>1176</v>
      </c>
      <c r="C400" s="26">
        <v>211007220000</v>
      </c>
      <c r="D400" s="23" t="s">
        <v>1044</v>
      </c>
      <c r="E400" s="23" t="s">
        <v>34</v>
      </c>
      <c r="F400" s="26">
        <v>286713.571428572</v>
      </c>
      <c r="G400" s="23" t="s">
        <v>35</v>
      </c>
      <c r="H400" s="23">
        <v>20</v>
      </c>
    </row>
    <row r="401" spans="1:8" x14ac:dyDescent="0.3">
      <c r="A401" s="23" t="s">
        <v>1177</v>
      </c>
      <c r="B401" s="23" t="s">
        <v>1178</v>
      </c>
      <c r="C401" s="26">
        <v>212044440000</v>
      </c>
      <c r="D401" s="23" t="s">
        <v>39</v>
      </c>
      <c r="E401" s="23" t="s">
        <v>40</v>
      </c>
      <c r="F401" s="26" t="s">
        <v>41</v>
      </c>
      <c r="G401" s="23" t="s">
        <v>42</v>
      </c>
      <c r="H401" s="23">
        <v>10</v>
      </c>
    </row>
    <row r="402" spans="1:8" x14ac:dyDescent="0.3">
      <c r="A402" s="23" t="s">
        <v>1179</v>
      </c>
      <c r="B402" s="23" t="s">
        <v>1180</v>
      </c>
      <c r="C402" s="26">
        <v>213081660000</v>
      </c>
      <c r="D402" s="23" t="s">
        <v>1049</v>
      </c>
      <c r="E402" s="23" t="s">
        <v>47</v>
      </c>
      <c r="F402" s="26">
        <v>-152340.33333333299</v>
      </c>
      <c r="G402" s="23" t="s">
        <v>48</v>
      </c>
      <c r="H402" s="23">
        <v>20</v>
      </c>
    </row>
    <row r="403" spans="1:8" x14ac:dyDescent="0.3">
      <c r="A403" s="23" t="s">
        <v>1181</v>
      </c>
      <c r="B403" s="23" t="s">
        <v>1182</v>
      </c>
      <c r="C403" s="26">
        <v>214118880000</v>
      </c>
      <c r="D403" s="23" t="s">
        <v>1052</v>
      </c>
      <c r="E403" s="23" t="s">
        <v>52</v>
      </c>
      <c r="F403" s="26">
        <v>-165327.33333333299</v>
      </c>
      <c r="G403" s="23" t="s">
        <v>35</v>
      </c>
      <c r="H403" s="23">
        <v>10</v>
      </c>
    </row>
    <row r="404" spans="1:8" x14ac:dyDescent="0.3">
      <c r="A404" s="23" t="s">
        <v>1183</v>
      </c>
      <c r="B404" s="23" t="s">
        <v>1184</v>
      </c>
      <c r="C404" s="26">
        <v>215156100000</v>
      </c>
      <c r="D404" s="23" t="s">
        <v>1055</v>
      </c>
      <c r="E404" s="23" t="s">
        <v>56</v>
      </c>
      <c r="F404" s="26">
        <v>-178314.33333333299</v>
      </c>
      <c r="G404" s="23" t="s">
        <v>57</v>
      </c>
      <c r="H404" s="23">
        <v>20</v>
      </c>
    </row>
    <row r="405" spans="1:8" x14ac:dyDescent="0.3">
      <c r="A405" s="23" t="s">
        <v>1185</v>
      </c>
      <c r="B405" s="23" t="s">
        <v>1186</v>
      </c>
      <c r="C405" s="26">
        <v>216193320000</v>
      </c>
      <c r="D405" s="23" t="s">
        <v>1058</v>
      </c>
      <c r="E405" s="23" t="s">
        <v>62</v>
      </c>
      <c r="F405" s="26" t="s">
        <v>1059</v>
      </c>
      <c r="G405" s="23" t="s">
        <v>64</v>
      </c>
      <c r="H405" s="23">
        <v>20</v>
      </c>
    </row>
    <row r="406" spans="1:8" x14ac:dyDescent="0.3">
      <c r="A406" s="23" t="s">
        <v>1187</v>
      </c>
      <c r="B406" s="23" t="s">
        <v>1188</v>
      </c>
      <c r="C406" s="26">
        <v>217230540000</v>
      </c>
      <c r="D406" s="23" t="s">
        <v>1062</v>
      </c>
      <c r="E406" s="23" t="s">
        <v>69</v>
      </c>
      <c r="F406" s="26">
        <v>252480.57142856999</v>
      </c>
      <c r="G406" s="23" t="s">
        <v>57</v>
      </c>
      <c r="H406" s="23">
        <v>20</v>
      </c>
    </row>
    <row r="407" spans="1:8" x14ac:dyDescent="0.3">
      <c r="A407" s="23" t="s">
        <v>1189</v>
      </c>
      <c r="B407" s="23" t="s">
        <v>1190</v>
      </c>
      <c r="C407" s="26">
        <v>218267760000</v>
      </c>
      <c r="D407" s="23" t="s">
        <v>73</v>
      </c>
      <c r="E407" s="23" t="s">
        <v>74</v>
      </c>
      <c r="F407" s="26">
        <v>258209.107142856</v>
      </c>
      <c r="G407" s="23" t="s">
        <v>30</v>
      </c>
      <c r="H407" s="23">
        <v>10</v>
      </c>
    </row>
    <row r="408" spans="1:8" x14ac:dyDescent="0.3">
      <c r="A408" s="23" t="s">
        <v>1191</v>
      </c>
      <c r="B408" s="23" t="s">
        <v>1192</v>
      </c>
      <c r="C408" s="26">
        <v>219304980000</v>
      </c>
      <c r="D408" s="23" t="s">
        <v>1067</v>
      </c>
      <c r="E408" s="23" t="s">
        <v>78</v>
      </c>
      <c r="F408" s="26">
        <v>263937.64285714203</v>
      </c>
      <c r="G408" s="23" t="s">
        <v>35</v>
      </c>
      <c r="H408" s="23">
        <v>10</v>
      </c>
    </row>
    <row r="409" spans="1:8" x14ac:dyDescent="0.3">
      <c r="A409" s="23" t="s">
        <v>1193</v>
      </c>
      <c r="B409" s="23" t="s">
        <v>1194</v>
      </c>
      <c r="C409" s="26">
        <v>220342200000</v>
      </c>
      <c r="D409" s="23" t="s">
        <v>1070</v>
      </c>
      <c r="E409" s="23" t="s">
        <v>83</v>
      </c>
      <c r="F409" s="26">
        <v>269666.178571428</v>
      </c>
      <c r="G409" s="23" t="s">
        <v>84</v>
      </c>
      <c r="H409" s="23">
        <v>10</v>
      </c>
    </row>
    <row r="410" spans="1:8" x14ac:dyDescent="0.3">
      <c r="A410" s="23" t="s">
        <v>1195</v>
      </c>
      <c r="B410" s="23" t="s">
        <v>1196</v>
      </c>
      <c r="C410" s="26">
        <v>221379420000</v>
      </c>
      <c r="D410" s="23" t="s">
        <v>1197</v>
      </c>
      <c r="E410" s="23" t="s">
        <v>74</v>
      </c>
      <c r="F410" s="26">
        <v>275394.71428571298</v>
      </c>
      <c r="G410" s="23" t="s">
        <v>30</v>
      </c>
      <c r="H410" s="23">
        <v>20</v>
      </c>
    </row>
    <row r="411" spans="1:8" x14ac:dyDescent="0.3">
      <c r="A411" s="23" t="s">
        <v>1198</v>
      </c>
      <c r="B411" s="23" t="s">
        <v>1199</v>
      </c>
      <c r="C411" s="26">
        <v>222416640000</v>
      </c>
      <c r="D411" s="23" t="s">
        <v>1200</v>
      </c>
      <c r="E411" s="23" t="s">
        <v>92</v>
      </c>
      <c r="F411" s="26">
        <v>281123.24999999901</v>
      </c>
      <c r="G411" s="23" t="s">
        <v>35</v>
      </c>
      <c r="H411" s="23">
        <v>20</v>
      </c>
    </row>
    <row r="412" spans="1:8" x14ac:dyDescent="0.3">
      <c r="A412" s="23" t="s">
        <v>1201</v>
      </c>
      <c r="B412" s="23" t="s">
        <v>1202</v>
      </c>
      <c r="C412" s="26">
        <v>223453860000</v>
      </c>
      <c r="D412" s="23" t="s">
        <v>1203</v>
      </c>
      <c r="E412" s="23" t="s">
        <v>96</v>
      </c>
      <c r="F412" s="26">
        <v>286851.78571428498</v>
      </c>
      <c r="G412" s="23" t="s">
        <v>35</v>
      </c>
      <c r="H412" s="23">
        <v>30</v>
      </c>
    </row>
    <row r="413" spans="1:8" x14ac:dyDescent="0.3">
      <c r="A413" s="23" t="s">
        <v>1204</v>
      </c>
      <c r="B413" s="23" t="s">
        <v>1205</v>
      </c>
      <c r="C413" s="26">
        <v>224491080000</v>
      </c>
      <c r="D413" s="23" t="s">
        <v>100</v>
      </c>
      <c r="E413" s="23" t="s">
        <v>101</v>
      </c>
      <c r="F413" s="26" t="s">
        <v>1206</v>
      </c>
      <c r="G413" s="23" t="s">
        <v>84</v>
      </c>
      <c r="H413" s="23">
        <v>30</v>
      </c>
    </row>
    <row r="414" spans="1:8" x14ac:dyDescent="0.3">
      <c r="A414" s="23" t="s">
        <v>1207</v>
      </c>
      <c r="B414" s="23" t="s">
        <v>1208</v>
      </c>
      <c r="C414" s="26">
        <v>225528300000</v>
      </c>
      <c r="D414" s="23" t="s">
        <v>1209</v>
      </c>
      <c r="E414" s="23" t="s">
        <v>107</v>
      </c>
      <c r="F414" s="26" t="s">
        <v>1210</v>
      </c>
      <c r="G414" s="23" t="s">
        <v>109</v>
      </c>
      <c r="H414" s="23">
        <v>30</v>
      </c>
    </row>
    <row r="415" spans="1:8" x14ac:dyDescent="0.3">
      <c r="A415" s="23" t="s">
        <v>1211</v>
      </c>
      <c r="B415" s="23" t="s">
        <v>1212</v>
      </c>
      <c r="C415" s="26">
        <v>226565520000</v>
      </c>
      <c r="D415" s="23" t="s">
        <v>1213</v>
      </c>
      <c r="E415" s="23" t="s">
        <v>114</v>
      </c>
      <c r="F415" s="26">
        <v>714508.66666666698</v>
      </c>
      <c r="G415" s="23" t="s">
        <v>115</v>
      </c>
      <c r="H415" s="23">
        <v>20</v>
      </c>
    </row>
    <row r="416" spans="1:8" x14ac:dyDescent="0.3">
      <c r="A416" s="23" t="s">
        <v>1214</v>
      </c>
      <c r="B416" s="23" t="s">
        <v>1215</v>
      </c>
      <c r="C416" s="26">
        <v>227602740000</v>
      </c>
      <c r="D416" s="23" t="s">
        <v>1216</v>
      </c>
      <c r="E416" s="23" t="s">
        <v>119</v>
      </c>
      <c r="F416" s="26">
        <v>760779.66666666698</v>
      </c>
      <c r="G416" s="23" t="s">
        <v>35</v>
      </c>
      <c r="H416" s="23">
        <v>10</v>
      </c>
    </row>
    <row r="417" spans="1:8" x14ac:dyDescent="0.3">
      <c r="A417" s="23" t="s">
        <v>1217</v>
      </c>
      <c r="B417" s="23" t="s">
        <v>1218</v>
      </c>
      <c r="C417" s="26">
        <v>228639960000</v>
      </c>
      <c r="D417" s="23" t="s">
        <v>1219</v>
      </c>
      <c r="E417" s="23" t="s">
        <v>123</v>
      </c>
      <c r="F417" s="26">
        <v>807050.66666666698</v>
      </c>
      <c r="G417" s="23" t="s">
        <v>35</v>
      </c>
      <c r="H417" s="23">
        <v>10</v>
      </c>
    </row>
    <row r="418" spans="1:8" x14ac:dyDescent="0.3">
      <c r="A418" s="23" t="s">
        <v>1220</v>
      </c>
      <c r="B418" s="23" t="s">
        <v>1221</v>
      </c>
      <c r="C418" s="26">
        <v>229677180000</v>
      </c>
      <c r="D418" s="23" t="s">
        <v>127</v>
      </c>
      <c r="E418" s="23" t="s">
        <v>128</v>
      </c>
      <c r="F418" s="26" t="s">
        <v>1222</v>
      </c>
      <c r="G418" s="23" t="s">
        <v>130</v>
      </c>
      <c r="H418" s="23">
        <v>20</v>
      </c>
    </row>
    <row r="419" spans="1:8" x14ac:dyDescent="0.3">
      <c r="A419" s="23" t="s">
        <v>1223</v>
      </c>
      <c r="B419" s="23" t="s">
        <v>1224</v>
      </c>
      <c r="C419" s="26">
        <v>230714400000</v>
      </c>
      <c r="D419" s="23" t="s">
        <v>1225</v>
      </c>
      <c r="E419" s="23" t="s">
        <v>134</v>
      </c>
      <c r="F419" s="26">
        <v>-105849.35757575701</v>
      </c>
      <c r="G419" s="23" t="s">
        <v>35</v>
      </c>
      <c r="H419" s="23">
        <v>20</v>
      </c>
    </row>
    <row r="420" spans="1:8" x14ac:dyDescent="0.3">
      <c r="A420" s="23" t="s">
        <v>1226</v>
      </c>
      <c r="B420" s="23" t="s">
        <v>1227</v>
      </c>
      <c r="C420" s="26">
        <v>231751620000</v>
      </c>
      <c r="D420" s="23" t="s">
        <v>1228</v>
      </c>
      <c r="E420" s="23" t="s">
        <v>139</v>
      </c>
      <c r="F420" s="26">
        <v>-109249.618181818</v>
      </c>
      <c r="G420" s="23" t="s">
        <v>84</v>
      </c>
      <c r="H420" s="23">
        <v>10</v>
      </c>
    </row>
    <row r="421" spans="1:8" x14ac:dyDescent="0.3">
      <c r="A421" s="23" t="s">
        <v>1229</v>
      </c>
      <c r="B421" s="23" t="s">
        <v>1230</v>
      </c>
      <c r="C421" s="26">
        <v>232788840000</v>
      </c>
      <c r="D421" s="23" t="s">
        <v>143</v>
      </c>
      <c r="E421" s="23" t="s">
        <v>144</v>
      </c>
      <c r="F421" s="26">
        <v>-112649.878787878</v>
      </c>
      <c r="G421" s="23" t="s">
        <v>30</v>
      </c>
      <c r="H421" s="23">
        <v>10</v>
      </c>
    </row>
    <row r="422" spans="1:8" x14ac:dyDescent="0.3">
      <c r="A422" s="23" t="s">
        <v>1231</v>
      </c>
      <c r="B422" s="23" t="s">
        <v>1232</v>
      </c>
      <c r="C422" s="26">
        <v>233826060000</v>
      </c>
      <c r="D422" s="23" t="s">
        <v>1233</v>
      </c>
      <c r="E422" s="23" t="s">
        <v>34</v>
      </c>
      <c r="F422" s="26">
        <v>-116050.139393939</v>
      </c>
      <c r="G422" s="23" t="s">
        <v>35</v>
      </c>
      <c r="H422" s="23">
        <v>20</v>
      </c>
    </row>
    <row r="423" spans="1:8" x14ac:dyDescent="0.3">
      <c r="A423" s="23" t="s">
        <v>1234</v>
      </c>
      <c r="B423" s="23" t="s">
        <v>1235</v>
      </c>
      <c r="C423" s="26">
        <v>234863280000</v>
      </c>
      <c r="D423" s="23" t="s">
        <v>1236</v>
      </c>
      <c r="E423" s="23" t="s">
        <v>152</v>
      </c>
      <c r="F423" s="26">
        <v>-119450.399999999</v>
      </c>
      <c r="G423" s="23" t="s">
        <v>153</v>
      </c>
      <c r="H423" s="23">
        <v>10</v>
      </c>
    </row>
    <row r="424" spans="1:8" x14ac:dyDescent="0.3">
      <c r="A424" s="23" t="s">
        <v>1237</v>
      </c>
      <c r="B424" s="23" t="s">
        <v>1238</v>
      </c>
      <c r="C424" s="26">
        <v>235900500000</v>
      </c>
      <c r="D424" s="23" t="s">
        <v>1239</v>
      </c>
      <c r="E424" s="23" t="s">
        <v>157</v>
      </c>
      <c r="F424" s="26">
        <v>-122850.66060606</v>
      </c>
      <c r="G424" s="23" t="s">
        <v>35</v>
      </c>
      <c r="H424" s="23">
        <v>10</v>
      </c>
    </row>
    <row r="425" spans="1:8" x14ac:dyDescent="0.3">
      <c r="A425" s="23" t="s">
        <v>1240</v>
      </c>
      <c r="B425" s="23" t="s">
        <v>1241</v>
      </c>
      <c r="C425" s="26">
        <v>236937720000</v>
      </c>
      <c r="D425" s="23" t="s">
        <v>160</v>
      </c>
      <c r="E425" s="23" t="s">
        <v>161</v>
      </c>
      <c r="F425" s="26">
        <v>-126250.921212121</v>
      </c>
      <c r="G425" s="23" t="s">
        <v>35</v>
      </c>
      <c r="H425" s="23">
        <v>20</v>
      </c>
    </row>
    <row r="426" spans="1:8" x14ac:dyDescent="0.3">
      <c r="A426" s="23" t="s">
        <v>1242</v>
      </c>
      <c r="B426" s="23" t="s">
        <v>1243</v>
      </c>
      <c r="C426" s="26">
        <v>237974940000</v>
      </c>
      <c r="D426" s="23" t="s">
        <v>1244</v>
      </c>
      <c r="E426" s="23" t="s">
        <v>166</v>
      </c>
      <c r="F426" s="26">
        <v>-129651.18181818099</v>
      </c>
      <c r="G426" s="23" t="s">
        <v>30</v>
      </c>
      <c r="H426" s="23">
        <v>20</v>
      </c>
    </row>
    <row r="427" spans="1:8" x14ac:dyDescent="0.3">
      <c r="A427" s="23" t="s">
        <v>1245</v>
      </c>
      <c r="B427" s="23" t="s">
        <v>1246</v>
      </c>
      <c r="C427" s="26">
        <v>239012160000</v>
      </c>
      <c r="D427" s="23" t="s">
        <v>1247</v>
      </c>
      <c r="E427" s="23" t="s">
        <v>171</v>
      </c>
      <c r="F427" s="26">
        <v>-133051.44242424201</v>
      </c>
      <c r="G427" s="23" t="s">
        <v>172</v>
      </c>
      <c r="H427" s="23">
        <v>20</v>
      </c>
    </row>
    <row r="428" spans="1:8" x14ac:dyDescent="0.3">
      <c r="A428" s="23" t="s">
        <v>1248</v>
      </c>
      <c r="B428" s="23" t="s">
        <v>1249</v>
      </c>
      <c r="C428" s="26">
        <v>240049380000</v>
      </c>
      <c r="D428" s="23" t="s">
        <v>176</v>
      </c>
      <c r="E428" s="23" t="s">
        <v>177</v>
      </c>
      <c r="F428" s="26">
        <v>-136451.70303030199</v>
      </c>
      <c r="G428" s="23" t="s">
        <v>57</v>
      </c>
      <c r="H428" s="23">
        <v>10</v>
      </c>
    </row>
    <row r="429" spans="1:8" x14ac:dyDescent="0.3">
      <c r="A429" s="23" t="s">
        <v>1250</v>
      </c>
      <c r="B429" s="23" t="s">
        <v>1251</v>
      </c>
      <c r="C429" s="26">
        <v>241086600000</v>
      </c>
      <c r="D429" s="23" t="s">
        <v>1252</v>
      </c>
      <c r="E429" s="23" t="s">
        <v>182</v>
      </c>
      <c r="F429" s="26" t="s">
        <v>1253</v>
      </c>
      <c r="G429" s="23" t="s">
        <v>184</v>
      </c>
      <c r="H429" s="23">
        <v>10</v>
      </c>
    </row>
    <row r="430" spans="1:8" x14ac:dyDescent="0.3">
      <c r="A430" s="23" t="s">
        <v>1254</v>
      </c>
      <c r="B430" s="23" t="s">
        <v>1255</v>
      </c>
      <c r="C430" s="26">
        <v>242123820000</v>
      </c>
      <c r="D430" s="23" t="s">
        <v>187</v>
      </c>
      <c r="E430" s="23" t="s">
        <v>188</v>
      </c>
      <c r="F430" s="26">
        <v>318785</v>
      </c>
      <c r="G430" s="23" t="s">
        <v>188</v>
      </c>
      <c r="H430" s="23">
        <v>10</v>
      </c>
    </row>
    <row r="431" spans="1:8" x14ac:dyDescent="0.3">
      <c r="A431" s="23" t="s">
        <v>1256</v>
      </c>
      <c r="B431" s="23" t="s">
        <v>1257</v>
      </c>
      <c r="C431" s="26">
        <v>243161040000</v>
      </c>
      <c r="D431" s="23" t="s">
        <v>1258</v>
      </c>
      <c r="E431" s="23" t="s">
        <v>192</v>
      </c>
      <c r="F431" s="26">
        <v>343759</v>
      </c>
      <c r="G431" s="23" t="s">
        <v>35</v>
      </c>
      <c r="H431" s="23">
        <v>10</v>
      </c>
    </row>
    <row r="432" spans="1:8" x14ac:dyDescent="0.3">
      <c r="A432" s="23" t="s">
        <v>1259</v>
      </c>
      <c r="B432" s="23" t="s">
        <v>1260</v>
      </c>
      <c r="C432" s="26">
        <v>244198260000</v>
      </c>
      <c r="D432" s="23" t="s">
        <v>1261</v>
      </c>
      <c r="E432" s="23" t="s">
        <v>197</v>
      </c>
      <c r="F432" s="26" t="s">
        <v>1262</v>
      </c>
      <c r="G432" s="23" t="s">
        <v>184</v>
      </c>
      <c r="H432" s="23">
        <v>10</v>
      </c>
    </row>
    <row r="433" spans="1:8" x14ac:dyDescent="0.3">
      <c r="A433" s="23" t="s">
        <v>1263</v>
      </c>
      <c r="B433" s="23" t="s">
        <v>1264</v>
      </c>
      <c r="C433" s="26">
        <v>245235480000</v>
      </c>
      <c r="D433" s="23" t="s">
        <v>1265</v>
      </c>
      <c r="E433" s="23" t="s">
        <v>203</v>
      </c>
      <c r="F433" s="26">
        <v>195851.67857142899</v>
      </c>
      <c r="G433" s="23" t="s">
        <v>115</v>
      </c>
      <c r="H433" s="23">
        <v>20</v>
      </c>
    </row>
    <row r="434" spans="1:8" x14ac:dyDescent="0.3">
      <c r="A434" s="23" t="s">
        <v>1266</v>
      </c>
      <c r="B434" s="23" t="s">
        <v>1267</v>
      </c>
      <c r="C434" s="26">
        <v>246272700000</v>
      </c>
      <c r="D434" s="23" t="s">
        <v>1268</v>
      </c>
      <c r="E434" s="23" t="s">
        <v>208</v>
      </c>
      <c r="F434" s="26">
        <v>201276.357142858</v>
      </c>
      <c r="G434" s="23" t="s">
        <v>57</v>
      </c>
      <c r="H434" s="23">
        <v>10</v>
      </c>
    </row>
    <row r="435" spans="1:8" x14ac:dyDescent="0.3">
      <c r="A435" s="23" t="s">
        <v>1269</v>
      </c>
      <c r="B435" s="23" t="s">
        <v>1270</v>
      </c>
      <c r="C435" s="26">
        <v>247309920000</v>
      </c>
      <c r="D435" s="23" t="s">
        <v>211</v>
      </c>
      <c r="E435" s="23" t="s">
        <v>188</v>
      </c>
      <c r="F435" s="26">
        <v>206701.035714286</v>
      </c>
      <c r="G435" s="23" t="s">
        <v>188</v>
      </c>
      <c r="H435" s="23">
        <v>10</v>
      </c>
    </row>
    <row r="436" spans="1:8" x14ac:dyDescent="0.3">
      <c r="A436" s="23" t="s">
        <v>1271</v>
      </c>
      <c r="B436" s="23" t="s">
        <v>1272</v>
      </c>
      <c r="C436" s="26">
        <v>248347140000</v>
      </c>
      <c r="D436" s="23" t="s">
        <v>215</v>
      </c>
      <c r="E436" s="23" t="s">
        <v>216</v>
      </c>
      <c r="F436" s="26">
        <v>212125.71428571499</v>
      </c>
      <c r="G436" s="23" t="s">
        <v>30</v>
      </c>
      <c r="H436" s="23">
        <v>20</v>
      </c>
    </row>
    <row r="437" spans="1:8" x14ac:dyDescent="0.3">
      <c r="A437" s="23" t="s">
        <v>1273</v>
      </c>
      <c r="B437" s="23" t="s">
        <v>1274</v>
      </c>
      <c r="C437" s="26">
        <v>249384360000</v>
      </c>
      <c r="D437" s="23" t="s">
        <v>1275</v>
      </c>
      <c r="E437" s="23" t="s">
        <v>221</v>
      </c>
      <c r="F437" s="26">
        <v>217550.39285714299</v>
      </c>
      <c r="G437" s="23" t="s">
        <v>30</v>
      </c>
      <c r="H437" s="23">
        <v>10</v>
      </c>
    </row>
    <row r="438" spans="1:8" x14ac:dyDescent="0.3">
      <c r="A438" s="23" t="s">
        <v>1276</v>
      </c>
      <c r="B438" s="23" t="s">
        <v>1277</v>
      </c>
      <c r="C438" s="26">
        <v>250421580000</v>
      </c>
      <c r="D438" s="23" t="s">
        <v>28</v>
      </c>
      <c r="E438" s="23" t="s">
        <v>29</v>
      </c>
      <c r="F438" s="26">
        <v>222975.071428572</v>
      </c>
      <c r="G438" s="23" t="s">
        <v>30</v>
      </c>
      <c r="H438" s="23">
        <v>10</v>
      </c>
    </row>
    <row r="439" spans="1:8" x14ac:dyDescent="0.3">
      <c r="A439" s="23" t="s">
        <v>1278</v>
      </c>
      <c r="B439" s="23" t="s">
        <v>1279</v>
      </c>
      <c r="C439" s="26">
        <v>251458800000</v>
      </c>
      <c r="D439" s="23" t="s">
        <v>1280</v>
      </c>
      <c r="E439" s="23" t="s">
        <v>34</v>
      </c>
      <c r="F439" s="26">
        <v>228399.75</v>
      </c>
      <c r="G439" s="23" t="s">
        <v>35</v>
      </c>
      <c r="H439" s="23">
        <v>20</v>
      </c>
    </row>
    <row r="440" spans="1:8" x14ac:dyDescent="0.3">
      <c r="A440" s="23" t="s">
        <v>1281</v>
      </c>
      <c r="B440" s="23" t="s">
        <v>1282</v>
      </c>
      <c r="C440" s="26">
        <v>252496020000</v>
      </c>
      <c r="D440" s="23" t="s">
        <v>39</v>
      </c>
      <c r="E440" s="23" t="s">
        <v>40</v>
      </c>
      <c r="F440" s="26" t="s">
        <v>41</v>
      </c>
      <c r="G440" s="23" t="s">
        <v>42</v>
      </c>
      <c r="H440" s="23">
        <v>10</v>
      </c>
    </row>
    <row r="441" spans="1:8" x14ac:dyDescent="0.3">
      <c r="A441" s="23" t="s">
        <v>1283</v>
      </c>
      <c r="B441" s="23" t="s">
        <v>1284</v>
      </c>
      <c r="C441" s="26">
        <v>253533240000</v>
      </c>
      <c r="D441" s="23" t="s">
        <v>1285</v>
      </c>
      <c r="E441" s="23" t="s">
        <v>47</v>
      </c>
      <c r="F441" s="26">
        <v>-191301.33333333299</v>
      </c>
      <c r="G441" s="23" t="s">
        <v>48</v>
      </c>
      <c r="H441" s="23">
        <v>10</v>
      </c>
    </row>
    <row r="442" spans="1:8" x14ac:dyDescent="0.3">
      <c r="A442" s="23" t="s">
        <v>1286</v>
      </c>
      <c r="B442" s="23" t="s">
        <v>1287</v>
      </c>
      <c r="C442" s="26">
        <v>254570460000</v>
      </c>
      <c r="D442" s="23" t="s">
        <v>1288</v>
      </c>
      <c r="E442" s="23" t="s">
        <v>52</v>
      </c>
      <c r="F442" s="26">
        <v>-204288.33333333299</v>
      </c>
      <c r="G442" s="23" t="s">
        <v>35</v>
      </c>
      <c r="H442" s="23">
        <v>10</v>
      </c>
    </row>
    <row r="443" spans="1:8" x14ac:dyDescent="0.3">
      <c r="A443" s="23" t="s">
        <v>1289</v>
      </c>
      <c r="B443" s="23" t="s">
        <v>1290</v>
      </c>
      <c r="C443" s="26">
        <v>255607680000</v>
      </c>
      <c r="D443" s="23" t="s">
        <v>1291</v>
      </c>
      <c r="E443" s="23" t="s">
        <v>56</v>
      </c>
      <c r="F443" s="26">
        <v>-217275.33333333299</v>
      </c>
      <c r="G443" s="23" t="s">
        <v>57</v>
      </c>
      <c r="H443" s="23">
        <v>10</v>
      </c>
    </row>
    <row r="444" spans="1:8" x14ac:dyDescent="0.3">
      <c r="A444" s="23" t="s">
        <v>1292</v>
      </c>
      <c r="B444" s="23" t="s">
        <v>1293</v>
      </c>
      <c r="C444" s="26">
        <v>256644900000</v>
      </c>
      <c r="D444" s="23" t="s">
        <v>1294</v>
      </c>
      <c r="E444" s="23" t="s">
        <v>62</v>
      </c>
      <c r="F444" s="26" t="s">
        <v>1295</v>
      </c>
      <c r="G444" s="23" t="s">
        <v>64</v>
      </c>
      <c r="H444" s="23">
        <v>10</v>
      </c>
    </row>
    <row r="445" spans="1:8" x14ac:dyDescent="0.3">
      <c r="A445" s="23" t="s">
        <v>1296</v>
      </c>
      <c r="B445" s="23" t="s">
        <v>1297</v>
      </c>
      <c r="C445" s="26">
        <v>257682120000</v>
      </c>
      <c r="D445" s="23" t="s">
        <v>1298</v>
      </c>
      <c r="E445" s="23" t="s">
        <v>69</v>
      </c>
      <c r="F445" s="26">
        <v>223837.892857147</v>
      </c>
      <c r="G445" s="23" t="s">
        <v>57</v>
      </c>
      <c r="H445" s="23">
        <v>10</v>
      </c>
    </row>
    <row r="446" spans="1:8" x14ac:dyDescent="0.3">
      <c r="A446" s="23" t="s">
        <v>1299</v>
      </c>
      <c r="B446" s="23" t="s">
        <v>1300</v>
      </c>
      <c r="C446" s="26">
        <v>258719340000</v>
      </c>
      <c r="D446" s="23" t="s">
        <v>73</v>
      </c>
      <c r="E446" s="23" t="s">
        <v>74</v>
      </c>
      <c r="F446" s="26">
        <v>229566.428571433</v>
      </c>
      <c r="G446" s="23" t="s">
        <v>30</v>
      </c>
      <c r="H446" s="23">
        <v>20</v>
      </c>
    </row>
    <row r="447" spans="1:8" x14ac:dyDescent="0.3">
      <c r="A447" s="23" t="s">
        <v>1301</v>
      </c>
      <c r="B447" s="23" t="s">
        <v>1302</v>
      </c>
      <c r="C447" s="26">
        <v>259756560000</v>
      </c>
      <c r="D447" s="23" t="s">
        <v>1303</v>
      </c>
      <c r="E447" s="23" t="s">
        <v>78</v>
      </c>
      <c r="F447" s="26">
        <v>235294.964285719</v>
      </c>
      <c r="G447" s="23" t="s">
        <v>35</v>
      </c>
      <c r="H447" s="23">
        <v>10</v>
      </c>
    </row>
    <row r="448" spans="1:8" x14ac:dyDescent="0.3">
      <c r="A448" s="23" t="s">
        <v>1304</v>
      </c>
      <c r="B448" s="23" t="s">
        <v>1305</v>
      </c>
      <c r="C448" s="26">
        <v>260793780000</v>
      </c>
      <c r="D448" s="23" t="s">
        <v>1306</v>
      </c>
      <c r="E448" s="23" t="s">
        <v>83</v>
      </c>
      <c r="F448" s="26">
        <v>241023.50000000501</v>
      </c>
      <c r="G448" s="23" t="s">
        <v>84</v>
      </c>
      <c r="H448" s="23">
        <v>20</v>
      </c>
    </row>
    <row r="449" spans="1:8" x14ac:dyDescent="0.3">
      <c r="A449" s="23" t="s">
        <v>1307</v>
      </c>
      <c r="B449" s="23" t="s">
        <v>1308</v>
      </c>
      <c r="C449" s="26" t="s">
        <v>1309</v>
      </c>
      <c r="D449" s="23" t="s">
        <v>28</v>
      </c>
      <c r="E449" s="23" t="s">
        <v>29</v>
      </c>
      <c r="F449" s="26">
        <v>109530</v>
      </c>
      <c r="G449" s="23" t="s">
        <v>30</v>
      </c>
      <c r="H449" s="23">
        <v>10</v>
      </c>
    </row>
    <row r="450" spans="1:8" x14ac:dyDescent="0.3">
      <c r="A450" s="23" t="s">
        <v>1310</v>
      </c>
      <c r="B450" s="23" t="s">
        <v>1311</v>
      </c>
      <c r="C450" s="26">
        <v>5085552560</v>
      </c>
      <c r="D450" s="23" t="s">
        <v>1044</v>
      </c>
      <c r="E450" s="23" t="s">
        <v>34</v>
      </c>
      <c r="F450" s="26">
        <v>116083</v>
      </c>
      <c r="G450" s="23" t="s">
        <v>35</v>
      </c>
      <c r="H450" s="23">
        <v>10</v>
      </c>
    </row>
    <row r="451" spans="1:8" x14ac:dyDescent="0.3">
      <c r="A451" s="23" t="s">
        <v>1312</v>
      </c>
      <c r="B451" s="23" t="s">
        <v>1313</v>
      </c>
      <c r="C451" s="26" t="s">
        <v>1314</v>
      </c>
      <c r="D451" s="23" t="s">
        <v>39</v>
      </c>
      <c r="E451" s="23" t="s">
        <v>40</v>
      </c>
      <c r="F451" s="26" t="s">
        <v>41</v>
      </c>
      <c r="G451" s="23" t="s">
        <v>42</v>
      </c>
      <c r="H451" s="23">
        <v>20</v>
      </c>
    </row>
    <row r="452" spans="1:8" x14ac:dyDescent="0.3">
      <c r="A452" s="23" t="s">
        <v>1315</v>
      </c>
      <c r="B452" s="23" t="s">
        <v>1316</v>
      </c>
      <c r="C452" s="26" t="s">
        <v>1317</v>
      </c>
      <c r="D452" s="23" t="s">
        <v>1049</v>
      </c>
      <c r="E452" s="23" t="s">
        <v>47</v>
      </c>
      <c r="F452" s="26">
        <v>-152340.33333333299</v>
      </c>
      <c r="G452" s="23" t="s">
        <v>48</v>
      </c>
      <c r="H452" s="23">
        <v>20</v>
      </c>
    </row>
    <row r="453" spans="1:8" x14ac:dyDescent="0.3">
      <c r="A453" s="23" t="s">
        <v>1318</v>
      </c>
      <c r="B453" s="23" t="s">
        <v>1319</v>
      </c>
      <c r="C453" s="26">
        <v>-52586341445</v>
      </c>
      <c r="D453" s="23" t="s">
        <v>1052</v>
      </c>
      <c r="E453" s="23" t="s">
        <v>52</v>
      </c>
      <c r="F453" s="26">
        <v>-165327.33333333299</v>
      </c>
      <c r="G453" s="23" t="s">
        <v>35</v>
      </c>
      <c r="H453" s="23">
        <v>30</v>
      </c>
    </row>
    <row r="454" spans="1:8" x14ac:dyDescent="0.3">
      <c r="A454" s="23" t="s">
        <v>1320</v>
      </c>
      <c r="B454" s="23" t="s">
        <v>1321</v>
      </c>
      <c r="C454" s="29">
        <v>-58462531445</v>
      </c>
      <c r="D454" s="23" t="s">
        <v>1055</v>
      </c>
      <c r="E454" s="23" t="s">
        <v>56</v>
      </c>
      <c r="F454" s="26">
        <v>-178314.33333333299</v>
      </c>
      <c r="G454" s="23" t="s">
        <v>57</v>
      </c>
      <c r="H454" s="23">
        <v>30</v>
      </c>
    </row>
    <row r="455" spans="1:8" x14ac:dyDescent="0.3">
      <c r="A455" s="23" t="s">
        <v>1322</v>
      </c>
      <c r="B455" s="23" t="s">
        <v>1323</v>
      </c>
      <c r="C455" s="26" t="s">
        <v>1324</v>
      </c>
      <c r="D455" s="23" t="s">
        <v>1058</v>
      </c>
      <c r="E455" s="23" t="s">
        <v>62</v>
      </c>
      <c r="F455" s="26" t="s">
        <v>1059</v>
      </c>
      <c r="G455" s="23" t="s">
        <v>64</v>
      </c>
      <c r="H455" s="23">
        <v>10</v>
      </c>
    </row>
    <row r="456" spans="1:8" x14ac:dyDescent="0.3">
      <c r="A456" s="23" t="s">
        <v>1325</v>
      </c>
      <c r="B456" s="23" t="s">
        <v>1326</v>
      </c>
      <c r="C456" s="26" t="s">
        <v>1327</v>
      </c>
      <c r="D456" s="23" t="s">
        <v>1062</v>
      </c>
      <c r="E456" s="23" t="s">
        <v>69</v>
      </c>
      <c r="F456" s="26">
        <v>252480.57142857101</v>
      </c>
      <c r="G456" s="23" t="s">
        <v>57</v>
      </c>
      <c r="H456" s="23">
        <v>10</v>
      </c>
    </row>
    <row r="457" spans="1:8" x14ac:dyDescent="0.3">
      <c r="A457" s="23" t="s">
        <v>1328</v>
      </c>
      <c r="B457" s="23" t="s">
        <v>1329</v>
      </c>
      <c r="C457" s="26" t="s">
        <v>1330</v>
      </c>
      <c r="D457" s="23" t="s">
        <v>73</v>
      </c>
      <c r="E457" s="23" t="s">
        <v>74</v>
      </c>
      <c r="F457" s="26">
        <v>258209.10714285701</v>
      </c>
      <c r="G457" s="23" t="s">
        <v>30</v>
      </c>
      <c r="H457" s="23">
        <v>10</v>
      </c>
    </row>
    <row r="458" spans="1:8" x14ac:dyDescent="0.3">
      <c r="A458" s="23" t="s">
        <v>1331</v>
      </c>
      <c r="B458" s="23" t="s">
        <v>1332</v>
      </c>
      <c r="C458" s="26">
        <v>6505556814</v>
      </c>
      <c r="D458" s="23" t="s">
        <v>1067</v>
      </c>
      <c r="E458" s="23" t="s">
        <v>78</v>
      </c>
      <c r="F458" s="26">
        <v>263937.64285714302</v>
      </c>
      <c r="G458" s="23" t="s">
        <v>35</v>
      </c>
      <c r="H458" s="23">
        <v>10</v>
      </c>
    </row>
    <row r="459" spans="1:8" x14ac:dyDescent="0.3">
      <c r="A459" s="23" t="s">
        <v>1333</v>
      </c>
      <c r="B459" s="23" t="s">
        <v>1334</v>
      </c>
      <c r="C459" s="26" t="s">
        <v>1335</v>
      </c>
      <c r="D459" s="23" t="s">
        <v>1070</v>
      </c>
      <c r="E459" s="23" t="s">
        <v>83</v>
      </c>
      <c r="F459" s="26">
        <v>269666.178571428</v>
      </c>
      <c r="G459" s="23" t="s">
        <v>84</v>
      </c>
      <c r="H459" s="23">
        <v>10</v>
      </c>
    </row>
    <row r="460" spans="1:8" x14ac:dyDescent="0.3">
      <c r="A460" s="23" t="s">
        <v>1336</v>
      </c>
      <c r="B460" s="23" t="s">
        <v>1337</v>
      </c>
      <c r="C460" s="26" t="s">
        <v>1338</v>
      </c>
      <c r="D460" s="23" t="s">
        <v>1197</v>
      </c>
      <c r="E460" s="23" t="s">
        <v>74</v>
      </c>
      <c r="F460" s="26">
        <v>275394.71428571403</v>
      </c>
      <c r="G460" s="23" t="s">
        <v>30</v>
      </c>
      <c r="H460" s="23">
        <v>20</v>
      </c>
    </row>
    <row r="461" spans="1:8" x14ac:dyDescent="0.3">
      <c r="A461" s="23" t="s">
        <v>1339</v>
      </c>
      <c r="B461" s="23" t="s">
        <v>1340</v>
      </c>
      <c r="C461" s="26">
        <v>24985612619</v>
      </c>
      <c r="D461" s="23" t="s">
        <v>1200</v>
      </c>
      <c r="E461" s="23" t="s">
        <v>92</v>
      </c>
      <c r="F461" s="26">
        <v>281123.25</v>
      </c>
      <c r="G461" s="23" t="s">
        <v>35</v>
      </c>
      <c r="H461" s="23">
        <v>20</v>
      </c>
    </row>
    <row r="462" spans="1:8" x14ac:dyDescent="0.3">
      <c r="A462" s="23" t="s">
        <v>1341</v>
      </c>
      <c r="B462" s="23" t="s">
        <v>1342</v>
      </c>
      <c r="C462" s="26">
        <v>27075618515</v>
      </c>
      <c r="D462" s="23" t="s">
        <v>1203</v>
      </c>
      <c r="E462" s="23" t="s">
        <v>96</v>
      </c>
      <c r="F462" s="26">
        <v>286851.78571428498</v>
      </c>
      <c r="G462" s="23" t="s">
        <v>35</v>
      </c>
      <c r="H462" s="23">
        <v>20</v>
      </c>
    </row>
    <row r="463" spans="1:8" x14ac:dyDescent="0.3">
      <c r="A463" s="23" t="s">
        <v>1343</v>
      </c>
      <c r="B463" s="23" t="s">
        <v>1344</v>
      </c>
      <c r="C463" s="26" t="s">
        <v>1345</v>
      </c>
      <c r="D463" s="23" t="s">
        <v>100</v>
      </c>
      <c r="E463" s="23" t="s">
        <v>101</v>
      </c>
      <c r="F463" s="26" t="s">
        <v>1206</v>
      </c>
      <c r="G463" s="23" t="s">
        <v>84</v>
      </c>
      <c r="H463" s="23">
        <v>20</v>
      </c>
    </row>
    <row r="464" spans="1:8" x14ac:dyDescent="0.3">
      <c r="A464" s="23" t="s">
        <v>1346</v>
      </c>
      <c r="B464" s="23" t="s">
        <v>1347</v>
      </c>
      <c r="C464" s="26" t="s">
        <v>1348</v>
      </c>
      <c r="D464" s="23" t="s">
        <v>1209</v>
      </c>
      <c r="E464" s="23" t="s">
        <v>107</v>
      </c>
      <c r="F464" s="26" t="s">
        <v>1210</v>
      </c>
      <c r="G464" s="23" t="s">
        <v>109</v>
      </c>
      <c r="H464" s="23">
        <v>10</v>
      </c>
    </row>
    <row r="465" spans="1:8" x14ac:dyDescent="0.3">
      <c r="A465" s="23" t="s">
        <v>1349</v>
      </c>
      <c r="B465" s="23" t="s">
        <v>1350</v>
      </c>
      <c r="C465" s="26" t="s">
        <v>1351</v>
      </c>
      <c r="D465" s="23" t="s">
        <v>1213</v>
      </c>
      <c r="E465" s="23" t="s">
        <v>114</v>
      </c>
      <c r="F465" s="26">
        <v>714508.66666666698</v>
      </c>
      <c r="G465" s="23" t="s">
        <v>115</v>
      </c>
      <c r="H465" s="23">
        <v>10</v>
      </c>
    </row>
    <row r="466" spans="1:8" x14ac:dyDescent="0.3">
      <c r="A466" s="23" t="s">
        <v>1352</v>
      </c>
      <c r="B466" s="23" t="s">
        <v>1353</v>
      </c>
      <c r="C466" s="26">
        <v>-17044437350</v>
      </c>
      <c r="D466" s="23" t="s">
        <v>1216</v>
      </c>
      <c r="E466" s="23" t="s">
        <v>119</v>
      </c>
      <c r="F466" s="26">
        <v>760779.66666666698</v>
      </c>
      <c r="G466" s="23" t="s">
        <v>35</v>
      </c>
      <c r="H466" s="23">
        <v>10</v>
      </c>
    </row>
    <row r="467" spans="1:8" x14ac:dyDescent="0.3">
      <c r="A467" s="23" t="s">
        <v>1354</v>
      </c>
      <c r="B467" s="23" t="s">
        <v>1355</v>
      </c>
      <c r="C467" s="26">
        <v>-19164436230</v>
      </c>
      <c r="D467" s="23" t="s">
        <v>1219</v>
      </c>
      <c r="E467" s="23" t="s">
        <v>123</v>
      </c>
      <c r="F467" s="26">
        <v>807050.66666666698</v>
      </c>
      <c r="G467" s="23" t="s">
        <v>35</v>
      </c>
      <c r="H467" s="23">
        <v>20</v>
      </c>
    </row>
    <row r="468" spans="1:8" x14ac:dyDescent="0.3">
      <c r="A468" s="23" t="s">
        <v>1356</v>
      </c>
      <c r="B468" s="23" t="s">
        <v>1357</v>
      </c>
      <c r="C468" s="26" t="s">
        <v>1358</v>
      </c>
      <c r="D468" s="23" t="s">
        <v>127</v>
      </c>
      <c r="E468" s="23" t="s">
        <v>128</v>
      </c>
      <c r="F468" s="26" t="s">
        <v>1222</v>
      </c>
      <c r="G468" s="23" t="s">
        <v>130</v>
      </c>
      <c r="H468" s="23">
        <v>20</v>
      </c>
    </row>
    <row r="469" spans="1:8" x14ac:dyDescent="0.3">
      <c r="A469" s="23" t="s">
        <v>1359</v>
      </c>
      <c r="B469" s="23" t="s">
        <v>1360</v>
      </c>
      <c r="C469" s="26">
        <v>3105552378</v>
      </c>
      <c r="D469" s="23" t="s">
        <v>1225</v>
      </c>
      <c r="E469" s="23" t="s">
        <v>134</v>
      </c>
      <c r="F469" s="26">
        <v>-105849.35757575701</v>
      </c>
      <c r="G469" s="23" t="s">
        <v>35</v>
      </c>
      <c r="H469" s="23">
        <v>10</v>
      </c>
    </row>
    <row r="470" spans="1:8" x14ac:dyDescent="0.3">
      <c r="A470" s="23" t="s">
        <v>1361</v>
      </c>
      <c r="B470" s="23" t="s">
        <v>1362</v>
      </c>
      <c r="C470" s="26" t="s">
        <v>1363</v>
      </c>
      <c r="D470" s="23" t="s">
        <v>1228</v>
      </c>
      <c r="E470" s="23" t="s">
        <v>139</v>
      </c>
      <c r="F470" s="26">
        <v>-109249.618181818</v>
      </c>
      <c r="G470" s="23" t="s">
        <v>84</v>
      </c>
      <c r="H470" s="23">
        <v>20</v>
      </c>
    </row>
    <row r="471" spans="1:8" x14ac:dyDescent="0.3">
      <c r="A471" s="23" t="s">
        <v>1364</v>
      </c>
      <c r="B471" s="23" t="s">
        <v>1365</v>
      </c>
      <c r="C471" s="26" t="s">
        <v>1366</v>
      </c>
      <c r="D471" s="23" t="s">
        <v>143</v>
      </c>
      <c r="E471" s="23" t="s">
        <v>144</v>
      </c>
      <c r="F471" s="26">
        <v>-112649.878787878</v>
      </c>
      <c r="G471" s="23" t="s">
        <v>30</v>
      </c>
      <c r="H471" s="23">
        <v>20</v>
      </c>
    </row>
    <row r="472" spans="1:8" x14ac:dyDescent="0.3">
      <c r="A472" s="23" t="s">
        <v>1367</v>
      </c>
      <c r="B472" s="23" t="s">
        <v>1368</v>
      </c>
      <c r="C472" s="26">
        <v>5085559560</v>
      </c>
      <c r="D472" s="23" t="s">
        <v>1233</v>
      </c>
      <c r="E472" s="23" t="s">
        <v>34</v>
      </c>
      <c r="F472" s="26">
        <v>-116050.139393939</v>
      </c>
      <c r="G472" s="23" t="s">
        <v>35</v>
      </c>
      <c r="H472" s="23">
        <v>20</v>
      </c>
    </row>
    <row r="473" spans="1:8" x14ac:dyDescent="0.3">
      <c r="A473" s="23" t="s">
        <v>1369</v>
      </c>
      <c r="B473" s="23" t="s">
        <v>1370</v>
      </c>
      <c r="C473" s="26" t="s">
        <v>1371</v>
      </c>
      <c r="D473" s="23" t="s">
        <v>1236</v>
      </c>
      <c r="E473" s="23" t="s">
        <v>152</v>
      </c>
      <c r="F473" s="26">
        <v>-119450.4</v>
      </c>
      <c r="G473" s="23" t="s">
        <v>153</v>
      </c>
      <c r="H473" s="23">
        <v>10</v>
      </c>
    </row>
    <row r="474" spans="1:8" x14ac:dyDescent="0.3">
      <c r="A474" s="23" t="s">
        <v>1372</v>
      </c>
      <c r="B474" s="23" t="s">
        <v>1373</v>
      </c>
      <c r="C474" s="26">
        <v>43255608655</v>
      </c>
      <c r="D474" s="23" t="s">
        <v>1239</v>
      </c>
      <c r="E474" s="23" t="s">
        <v>157</v>
      </c>
      <c r="F474" s="26">
        <v>-122850.66060606</v>
      </c>
      <c r="G474" s="23" t="s">
        <v>35</v>
      </c>
      <c r="H474" s="23">
        <v>10</v>
      </c>
    </row>
    <row r="475" spans="1:8" x14ac:dyDescent="0.3">
      <c r="A475" s="23" t="s">
        <v>1374</v>
      </c>
      <c r="B475" s="23" t="s">
        <v>1375</v>
      </c>
      <c r="C475" s="26">
        <v>47365614365</v>
      </c>
      <c r="D475" s="23" t="s">
        <v>160</v>
      </c>
      <c r="E475" s="23" t="s">
        <v>161</v>
      </c>
      <c r="F475" s="26">
        <v>-126250.921212121</v>
      </c>
      <c r="G475" s="23" t="s">
        <v>35</v>
      </c>
      <c r="H475" s="23">
        <v>20</v>
      </c>
    </row>
    <row r="476" spans="1:8" x14ac:dyDescent="0.3">
      <c r="A476" s="23" t="s">
        <v>1376</v>
      </c>
      <c r="B476" s="23" t="s">
        <v>1377</v>
      </c>
      <c r="C476" s="26" t="s">
        <v>1378</v>
      </c>
      <c r="D476" s="23" t="s">
        <v>1244</v>
      </c>
      <c r="E476" s="23" t="s">
        <v>166</v>
      </c>
      <c r="F476" s="26">
        <v>-129651.18181818099</v>
      </c>
      <c r="G476" s="23" t="s">
        <v>30</v>
      </c>
      <c r="H476" s="23">
        <v>20</v>
      </c>
    </row>
    <row r="477" spans="1:8" x14ac:dyDescent="0.3">
      <c r="A477" s="23" t="s">
        <v>1379</v>
      </c>
      <c r="B477" s="23" t="s">
        <v>1380</v>
      </c>
      <c r="C477" s="26" t="s">
        <v>1381</v>
      </c>
      <c r="D477" s="23" t="s">
        <v>1247</v>
      </c>
      <c r="E477" s="23" t="s">
        <v>171</v>
      </c>
      <c r="F477" s="26">
        <v>-133051.44242424201</v>
      </c>
      <c r="G477" s="23" t="s">
        <v>172</v>
      </c>
      <c r="H477" s="23">
        <v>10</v>
      </c>
    </row>
    <row r="478" spans="1:8" x14ac:dyDescent="0.3">
      <c r="A478" s="23" t="s">
        <v>1382</v>
      </c>
      <c r="B478" s="23" t="s">
        <v>1383</v>
      </c>
      <c r="C478" s="26" t="s">
        <v>1384</v>
      </c>
      <c r="D478" s="23" t="s">
        <v>176</v>
      </c>
      <c r="E478" s="23" t="s">
        <v>177</v>
      </c>
      <c r="F478" s="26">
        <v>-136451.703030303</v>
      </c>
      <c r="G478" s="23" t="s">
        <v>57</v>
      </c>
      <c r="H478" s="23">
        <v>20</v>
      </c>
    </row>
    <row r="479" spans="1:8" x14ac:dyDescent="0.3">
      <c r="A479" s="23" t="s">
        <v>1385</v>
      </c>
      <c r="B479" s="23" t="s">
        <v>1386</v>
      </c>
      <c r="C479" s="26" t="s">
        <v>1387</v>
      </c>
      <c r="D479" s="23" t="s">
        <v>1252</v>
      </c>
      <c r="E479" s="23" t="s">
        <v>182</v>
      </c>
      <c r="F479" s="26" t="s">
        <v>1253</v>
      </c>
      <c r="G479" s="23" t="s">
        <v>184</v>
      </c>
      <c r="H479" s="23">
        <v>20</v>
      </c>
    </row>
    <row r="480" spans="1:8" x14ac:dyDescent="0.3">
      <c r="A480" s="23" t="s">
        <v>1388</v>
      </c>
      <c r="B480" s="23" t="s">
        <v>1389</v>
      </c>
      <c r="C480" s="29">
        <v>14285419505</v>
      </c>
      <c r="D480" s="23" t="s">
        <v>187</v>
      </c>
      <c r="E480" s="23" t="s">
        <v>188</v>
      </c>
      <c r="F480" s="26">
        <v>318785</v>
      </c>
      <c r="G480" s="23" t="s">
        <v>188</v>
      </c>
      <c r="H480" s="23">
        <v>10</v>
      </c>
    </row>
    <row r="481" spans="1:8" x14ac:dyDescent="0.3">
      <c r="A481" s="23" t="s">
        <v>1390</v>
      </c>
      <c r="B481" s="23" t="s">
        <v>1391</v>
      </c>
      <c r="C481" s="26">
        <v>15648737300</v>
      </c>
      <c r="D481" s="23" t="s">
        <v>1258</v>
      </c>
      <c r="E481" s="23" t="s">
        <v>192</v>
      </c>
      <c r="F481" s="26">
        <v>343759</v>
      </c>
      <c r="G481" s="23" t="s">
        <v>35</v>
      </c>
      <c r="H481" s="23">
        <v>10</v>
      </c>
    </row>
    <row r="482" spans="1:8" x14ac:dyDescent="0.3">
      <c r="A482" s="23" t="s">
        <v>1392</v>
      </c>
      <c r="B482" s="23" t="s">
        <v>1393</v>
      </c>
      <c r="C482" s="26" t="s">
        <v>1394</v>
      </c>
      <c r="D482" s="23" t="s">
        <v>1261</v>
      </c>
      <c r="E482" s="23" t="s">
        <v>197</v>
      </c>
      <c r="F482" s="26" t="s">
        <v>1262</v>
      </c>
      <c r="G482" s="23" t="s">
        <v>184</v>
      </c>
      <c r="H482" s="23">
        <v>10</v>
      </c>
    </row>
    <row r="483" spans="1:8" x14ac:dyDescent="0.3">
      <c r="A483" s="23" t="s">
        <v>1395</v>
      </c>
      <c r="B483" s="23" t="s">
        <v>1396</v>
      </c>
      <c r="C483" s="26" t="s">
        <v>1397</v>
      </c>
      <c r="D483" s="23" t="s">
        <v>1265</v>
      </c>
      <c r="E483" s="23" t="s">
        <v>203</v>
      </c>
      <c r="F483" s="26">
        <v>294783.42857142899</v>
      </c>
      <c r="G483" s="23" t="s">
        <v>115</v>
      </c>
      <c r="H483" s="23">
        <v>10</v>
      </c>
    </row>
    <row r="484" spans="1:8" x14ac:dyDescent="0.3">
      <c r="A484" s="23" t="s">
        <v>1398</v>
      </c>
      <c r="B484" s="23" t="s">
        <v>1399</v>
      </c>
      <c r="C484" s="26" t="s">
        <v>1400</v>
      </c>
      <c r="D484" s="23" t="s">
        <v>1268</v>
      </c>
      <c r="E484" s="23" t="s">
        <v>208</v>
      </c>
      <c r="F484" s="26">
        <v>302853.28571428597</v>
      </c>
      <c r="G484" s="23" t="s">
        <v>57</v>
      </c>
      <c r="H484" s="23">
        <v>10</v>
      </c>
    </row>
    <row r="485" spans="1:8" x14ac:dyDescent="0.3">
      <c r="A485" s="23" t="s">
        <v>1401</v>
      </c>
      <c r="B485" s="23" t="s">
        <v>1402</v>
      </c>
      <c r="C485" s="29">
        <v>652217560</v>
      </c>
      <c r="D485" s="23" t="s">
        <v>211</v>
      </c>
      <c r="E485" s="23" t="s">
        <v>188</v>
      </c>
      <c r="F485" s="26">
        <v>310923.14285714302</v>
      </c>
      <c r="G485" s="23" t="s">
        <v>188</v>
      </c>
      <c r="H485" s="23">
        <v>20</v>
      </c>
    </row>
    <row r="486" spans="1:8" x14ac:dyDescent="0.3">
      <c r="A486" s="23" t="s">
        <v>1403</v>
      </c>
      <c r="B486" s="23" t="s">
        <v>1404</v>
      </c>
      <c r="C486" s="26" t="s">
        <v>1405</v>
      </c>
      <c r="D486" s="23" t="s">
        <v>215</v>
      </c>
      <c r="E486" s="23" t="s">
        <v>216</v>
      </c>
      <c r="F486" s="26">
        <v>318993</v>
      </c>
      <c r="G486" s="23" t="s">
        <v>30</v>
      </c>
      <c r="H486" s="23">
        <v>10</v>
      </c>
    </row>
    <row r="487" spans="1:8" x14ac:dyDescent="0.3">
      <c r="A487" s="23" t="s">
        <v>1406</v>
      </c>
      <c r="B487" s="23" t="s">
        <v>1407</v>
      </c>
      <c r="C487" s="26" t="s">
        <v>1408</v>
      </c>
      <c r="D487" s="23" t="s">
        <v>1275</v>
      </c>
      <c r="E487" s="23" t="s">
        <v>221</v>
      </c>
      <c r="F487" s="26">
        <v>327062.85714285797</v>
      </c>
      <c r="G487" s="23" t="s">
        <v>30</v>
      </c>
      <c r="H487" s="23">
        <v>20</v>
      </c>
    </row>
    <row r="488" spans="1:8" x14ac:dyDescent="0.3">
      <c r="A488" s="23" t="s">
        <v>1409</v>
      </c>
      <c r="B488" s="23" t="s">
        <v>1410</v>
      </c>
      <c r="C488" s="26">
        <v>261831000000</v>
      </c>
      <c r="D488" s="23" t="s">
        <v>28</v>
      </c>
      <c r="E488" s="23" t="s">
        <v>29</v>
      </c>
      <c r="F488" s="26">
        <v>335132.71428571502</v>
      </c>
      <c r="G488" s="23" t="s">
        <v>30</v>
      </c>
      <c r="H488" s="23">
        <v>10</v>
      </c>
    </row>
    <row r="489" spans="1:8" x14ac:dyDescent="0.3">
      <c r="A489" s="23" t="s">
        <v>1411</v>
      </c>
      <c r="B489" s="23" t="s">
        <v>1412</v>
      </c>
      <c r="C489" s="26">
        <v>262868220000</v>
      </c>
      <c r="D489" s="23" t="s">
        <v>1280</v>
      </c>
      <c r="E489" s="23" t="s">
        <v>34</v>
      </c>
      <c r="F489" s="26">
        <v>343202.571428572</v>
      </c>
      <c r="G489" s="23" t="s">
        <v>35</v>
      </c>
      <c r="H489" s="23">
        <v>20</v>
      </c>
    </row>
    <row r="490" spans="1:8" x14ac:dyDescent="0.3">
      <c r="A490" s="23" t="s">
        <v>1413</v>
      </c>
      <c r="B490" s="23" t="s">
        <v>1414</v>
      </c>
      <c r="C490" s="26">
        <v>263905440000</v>
      </c>
      <c r="D490" s="23" t="s">
        <v>39</v>
      </c>
      <c r="E490" s="23" t="s">
        <v>40</v>
      </c>
      <c r="F490" s="26" t="s">
        <v>41</v>
      </c>
      <c r="G490" s="23" t="s">
        <v>42</v>
      </c>
      <c r="H490" s="23">
        <v>10</v>
      </c>
    </row>
    <row r="491" spans="1:8" x14ac:dyDescent="0.3">
      <c r="A491" s="23" t="s">
        <v>1415</v>
      </c>
      <c r="B491" s="23" t="s">
        <v>1416</v>
      </c>
      <c r="C491" s="26">
        <v>264942660000</v>
      </c>
      <c r="D491" s="23" t="s">
        <v>1285</v>
      </c>
      <c r="E491" s="23" t="s">
        <v>47</v>
      </c>
      <c r="F491" s="26">
        <v>-191301.33333333299</v>
      </c>
      <c r="G491" s="23" t="s">
        <v>48</v>
      </c>
      <c r="H491" s="23">
        <v>20</v>
      </c>
    </row>
    <row r="492" spans="1:8" x14ac:dyDescent="0.3">
      <c r="A492" s="23" t="s">
        <v>1417</v>
      </c>
      <c r="B492" s="23" t="s">
        <v>1418</v>
      </c>
      <c r="C492" s="26">
        <v>265979880000</v>
      </c>
      <c r="D492" s="23" t="s">
        <v>1288</v>
      </c>
      <c r="E492" s="23" t="s">
        <v>52</v>
      </c>
      <c r="F492" s="26">
        <v>-204288.33333333299</v>
      </c>
      <c r="G492" s="23" t="s">
        <v>35</v>
      </c>
      <c r="H492" s="23">
        <v>20</v>
      </c>
    </row>
    <row r="493" spans="1:8" x14ac:dyDescent="0.3">
      <c r="A493" s="23" t="s">
        <v>1419</v>
      </c>
      <c r="B493" s="23" t="s">
        <v>1420</v>
      </c>
      <c r="C493" s="26">
        <v>267017100000</v>
      </c>
      <c r="D493" s="23" t="s">
        <v>1291</v>
      </c>
      <c r="E493" s="23" t="s">
        <v>56</v>
      </c>
      <c r="F493" s="26">
        <v>-217275.33333333299</v>
      </c>
      <c r="G493" s="23" t="s">
        <v>57</v>
      </c>
      <c r="H493" s="23">
        <v>20</v>
      </c>
    </row>
    <row r="494" spans="1:8" x14ac:dyDescent="0.3">
      <c r="A494" s="23" t="s">
        <v>1421</v>
      </c>
      <c r="B494" s="23" t="s">
        <v>1422</v>
      </c>
      <c r="C494" s="26">
        <v>268054320000</v>
      </c>
      <c r="D494" s="23" t="s">
        <v>1294</v>
      </c>
      <c r="E494" s="23" t="s">
        <v>62</v>
      </c>
      <c r="F494" s="26" t="s">
        <v>1295</v>
      </c>
      <c r="G494" s="23" t="s">
        <v>64</v>
      </c>
      <c r="H494" s="23">
        <v>20</v>
      </c>
    </row>
    <row r="495" spans="1:8" x14ac:dyDescent="0.3">
      <c r="A495" s="23" t="s">
        <v>1423</v>
      </c>
      <c r="B495" s="23" t="s">
        <v>1424</v>
      </c>
      <c r="C495" s="26">
        <v>269091540000</v>
      </c>
      <c r="D495" s="23" t="s">
        <v>1298</v>
      </c>
      <c r="E495" s="23" t="s">
        <v>69</v>
      </c>
      <c r="F495" s="26">
        <v>292580.32142857002</v>
      </c>
      <c r="G495" s="23" t="s">
        <v>57</v>
      </c>
      <c r="H495" s="23">
        <v>20</v>
      </c>
    </row>
    <row r="496" spans="1:8" x14ac:dyDescent="0.3">
      <c r="A496" s="23" t="s">
        <v>1425</v>
      </c>
      <c r="B496" s="23" t="s">
        <v>1426</v>
      </c>
      <c r="C496" s="26">
        <v>270128760000</v>
      </c>
      <c r="D496" s="23" t="s">
        <v>73</v>
      </c>
      <c r="E496" s="23" t="s">
        <v>74</v>
      </c>
      <c r="F496" s="26">
        <v>298308.857142856</v>
      </c>
      <c r="G496" s="23" t="s">
        <v>30</v>
      </c>
      <c r="H496" s="23">
        <v>10</v>
      </c>
    </row>
    <row r="497" spans="1:8" x14ac:dyDescent="0.3">
      <c r="A497" s="23" t="s">
        <v>1427</v>
      </c>
      <c r="B497" s="23" t="s">
        <v>1428</v>
      </c>
      <c r="C497" s="26">
        <v>271165980000</v>
      </c>
      <c r="D497" s="23" t="s">
        <v>1303</v>
      </c>
      <c r="E497" s="23" t="s">
        <v>78</v>
      </c>
      <c r="F497" s="26">
        <v>304037.39285714203</v>
      </c>
      <c r="G497" s="23" t="s">
        <v>35</v>
      </c>
      <c r="H497" s="23">
        <v>20</v>
      </c>
    </row>
    <row r="498" spans="1:8" x14ac:dyDescent="0.3">
      <c r="A498" s="23" t="s">
        <v>1429</v>
      </c>
      <c r="B498" s="23" t="s">
        <v>1430</v>
      </c>
      <c r="C498" s="26">
        <v>272203200000</v>
      </c>
      <c r="D498" s="23" t="s">
        <v>1306</v>
      </c>
      <c r="E498" s="23" t="s">
        <v>83</v>
      </c>
      <c r="F498" s="26">
        <v>309765.92857142701</v>
      </c>
      <c r="G498" s="23" t="s">
        <v>84</v>
      </c>
      <c r="H498" s="23">
        <v>10</v>
      </c>
    </row>
    <row r="499" spans="1:8" x14ac:dyDescent="0.3">
      <c r="A499" s="23" t="s">
        <v>1431</v>
      </c>
      <c r="B499" s="23" t="s">
        <v>1432</v>
      </c>
      <c r="C499" s="26">
        <v>273240420000</v>
      </c>
      <c r="D499" s="23" t="s">
        <v>1433</v>
      </c>
      <c r="E499" s="23" t="s">
        <v>74</v>
      </c>
      <c r="F499" s="26">
        <v>315494.46428571298</v>
      </c>
      <c r="G499" s="23" t="s">
        <v>30</v>
      </c>
      <c r="H499" s="23">
        <v>10</v>
      </c>
    </row>
    <row r="500" spans="1:8" x14ac:dyDescent="0.3">
      <c r="A500" s="23" t="s">
        <v>1434</v>
      </c>
      <c r="B500" s="23" t="s">
        <v>1435</v>
      </c>
      <c r="C500" s="26">
        <v>274277640000</v>
      </c>
      <c r="D500" s="23" t="s">
        <v>1436</v>
      </c>
      <c r="E500" s="23" t="s">
        <v>92</v>
      </c>
      <c r="F500" s="26">
        <v>321222.99999999901</v>
      </c>
      <c r="G500" s="23" t="s">
        <v>35</v>
      </c>
      <c r="H500" s="23">
        <v>10</v>
      </c>
    </row>
    <row r="501" spans="1:8" x14ac:dyDescent="0.3">
      <c r="A501" s="23" t="s">
        <v>1437</v>
      </c>
      <c r="B501" s="23" t="s">
        <v>1438</v>
      </c>
      <c r="C501" s="26">
        <v>275314860000</v>
      </c>
      <c r="D501" s="23" t="s">
        <v>1439</v>
      </c>
      <c r="E501" s="23" t="s">
        <v>96</v>
      </c>
      <c r="F501" s="26">
        <v>326951.53571428498</v>
      </c>
      <c r="G501" s="23" t="s">
        <v>35</v>
      </c>
      <c r="H501" s="23">
        <v>20</v>
      </c>
    </row>
    <row r="502" spans="1:8" x14ac:dyDescent="0.3">
      <c r="A502" s="23" t="s">
        <v>1440</v>
      </c>
      <c r="B502" s="23" t="s">
        <v>1441</v>
      </c>
      <c r="C502" s="26">
        <v>276352080000</v>
      </c>
      <c r="D502" s="23" t="s">
        <v>100</v>
      </c>
      <c r="E502" s="23" t="s">
        <v>101</v>
      </c>
      <c r="F502" s="26" t="s">
        <v>1442</v>
      </c>
      <c r="G502" s="23" t="s">
        <v>84</v>
      </c>
      <c r="H502" s="23">
        <v>10</v>
      </c>
    </row>
    <row r="503" spans="1:8" x14ac:dyDescent="0.3">
      <c r="A503" s="23" t="s">
        <v>1443</v>
      </c>
      <c r="B503" s="23" t="s">
        <v>1444</v>
      </c>
      <c r="C503" s="26">
        <v>277389300000</v>
      </c>
      <c r="D503" s="23" t="s">
        <v>1445</v>
      </c>
      <c r="E503" s="23" t="s">
        <v>107</v>
      </c>
      <c r="F503" s="26" t="s">
        <v>1446</v>
      </c>
      <c r="G503" s="23" t="s">
        <v>109</v>
      </c>
      <c r="H503" s="23">
        <v>30</v>
      </c>
    </row>
    <row r="504" spans="1:8" x14ac:dyDescent="0.3">
      <c r="A504" s="23" t="s">
        <v>1447</v>
      </c>
      <c r="B504" s="23" t="s">
        <v>1448</v>
      </c>
      <c r="C504" s="26">
        <v>278426520000</v>
      </c>
      <c r="D504" s="23" t="s">
        <v>1449</v>
      </c>
      <c r="E504" s="23" t="s">
        <v>114</v>
      </c>
      <c r="F504" s="26">
        <v>853321.66666666698</v>
      </c>
      <c r="G504" s="23" t="s">
        <v>115</v>
      </c>
      <c r="H504" s="23">
        <v>30</v>
      </c>
    </row>
    <row r="505" spans="1:8" x14ac:dyDescent="0.3">
      <c r="A505" s="23" t="s">
        <v>1450</v>
      </c>
      <c r="B505" s="23" t="s">
        <v>1451</v>
      </c>
      <c r="C505" s="26">
        <v>279463740000</v>
      </c>
      <c r="D505" s="23" t="s">
        <v>1452</v>
      </c>
      <c r="E505" s="23" t="s">
        <v>119</v>
      </c>
      <c r="F505" s="26">
        <v>899592.66666666698</v>
      </c>
      <c r="G505" s="23" t="s">
        <v>35</v>
      </c>
      <c r="H505" s="23">
        <v>20</v>
      </c>
    </row>
    <row r="506" spans="1:8" x14ac:dyDescent="0.3">
      <c r="A506" s="23" t="s">
        <v>1453</v>
      </c>
      <c r="B506" s="23" t="s">
        <v>1454</v>
      </c>
      <c r="C506" s="26">
        <v>280500960000</v>
      </c>
      <c r="D506" s="23" t="s">
        <v>1455</v>
      </c>
      <c r="E506" s="23" t="s">
        <v>123</v>
      </c>
      <c r="F506" s="26">
        <v>945863.66666666698</v>
      </c>
      <c r="G506" s="23" t="s">
        <v>35</v>
      </c>
      <c r="H506" s="23">
        <v>20</v>
      </c>
    </row>
    <row r="507" spans="1:8" x14ac:dyDescent="0.3">
      <c r="A507" s="23" t="s">
        <v>1456</v>
      </c>
      <c r="B507" s="23" t="s">
        <v>1457</v>
      </c>
      <c r="C507" s="26">
        <v>281538180000</v>
      </c>
      <c r="D507" s="23" t="s">
        <v>127</v>
      </c>
      <c r="E507" s="23" t="s">
        <v>128</v>
      </c>
      <c r="F507" s="26" t="s">
        <v>1458</v>
      </c>
      <c r="G507" s="23" t="s">
        <v>130</v>
      </c>
      <c r="H507" s="23">
        <v>10</v>
      </c>
    </row>
    <row r="508" spans="1:8" x14ac:dyDescent="0.3">
      <c r="A508" s="23" t="s">
        <v>1459</v>
      </c>
      <c r="B508" s="23" t="s">
        <v>1460</v>
      </c>
      <c r="C508" s="26">
        <v>282575400000</v>
      </c>
      <c r="D508" s="23" t="s">
        <v>1461</v>
      </c>
      <c r="E508" s="23" t="s">
        <v>134</v>
      </c>
      <c r="F508" s="26">
        <v>-139851.96363636301</v>
      </c>
      <c r="G508" s="23" t="s">
        <v>35</v>
      </c>
      <c r="H508" s="23">
        <v>30</v>
      </c>
    </row>
    <row r="509" spans="1:8" x14ac:dyDescent="0.3">
      <c r="A509" s="23" t="s">
        <v>1462</v>
      </c>
      <c r="B509" s="23" t="s">
        <v>1463</v>
      </c>
      <c r="C509" s="26">
        <v>283612620000</v>
      </c>
      <c r="D509" s="23" t="s">
        <v>1464</v>
      </c>
      <c r="E509" s="23" t="s">
        <v>139</v>
      </c>
      <c r="F509" s="26">
        <v>-143252.22424242401</v>
      </c>
      <c r="G509" s="23" t="s">
        <v>84</v>
      </c>
      <c r="H509" s="23">
        <v>20</v>
      </c>
    </row>
    <row r="510" spans="1:8" x14ac:dyDescent="0.3">
      <c r="A510" s="23" t="s">
        <v>1465</v>
      </c>
      <c r="B510" s="23" t="s">
        <v>1466</v>
      </c>
      <c r="C510" s="26">
        <v>284649840000</v>
      </c>
      <c r="D510" s="23" t="s">
        <v>143</v>
      </c>
      <c r="E510" s="23" t="s">
        <v>144</v>
      </c>
      <c r="F510" s="26">
        <v>-146652.48484848399</v>
      </c>
      <c r="G510" s="23" t="s">
        <v>30</v>
      </c>
      <c r="H510" s="23">
        <v>20</v>
      </c>
    </row>
    <row r="511" spans="1:8" x14ac:dyDescent="0.3">
      <c r="A511" s="23" t="s">
        <v>1467</v>
      </c>
      <c r="B511" s="23" t="s">
        <v>1468</v>
      </c>
      <c r="C511" s="26">
        <v>285687060000</v>
      </c>
      <c r="D511" s="23" t="s">
        <v>1469</v>
      </c>
      <c r="E511" s="23" t="s">
        <v>34</v>
      </c>
      <c r="F511" s="26">
        <v>-150052.74545454499</v>
      </c>
      <c r="G511" s="23" t="s">
        <v>35</v>
      </c>
      <c r="H511" s="23">
        <v>20</v>
      </c>
    </row>
    <row r="512" spans="1:8" x14ac:dyDescent="0.3">
      <c r="A512" s="23" t="s">
        <v>1470</v>
      </c>
      <c r="B512" s="23" t="s">
        <v>1471</v>
      </c>
      <c r="C512" s="26">
        <v>286724280000</v>
      </c>
      <c r="D512" s="23" t="s">
        <v>1472</v>
      </c>
      <c r="E512" s="23" t="s">
        <v>152</v>
      </c>
      <c r="F512" s="26">
        <v>-153453.006060605</v>
      </c>
      <c r="G512" s="23" t="s">
        <v>153</v>
      </c>
      <c r="H512" s="23">
        <v>10</v>
      </c>
    </row>
    <row r="513" spans="1:8" x14ac:dyDescent="0.3">
      <c r="A513" s="23" t="s">
        <v>1473</v>
      </c>
      <c r="B513" s="23" t="s">
        <v>1474</v>
      </c>
      <c r="C513" s="26">
        <v>287761500000</v>
      </c>
      <c r="D513" s="23" t="s">
        <v>1475</v>
      </c>
      <c r="E513" s="23" t="s">
        <v>157</v>
      </c>
      <c r="F513" s="26">
        <v>-156853.26666666599</v>
      </c>
      <c r="G513" s="23" t="s">
        <v>35</v>
      </c>
      <c r="H513" s="23">
        <v>10</v>
      </c>
    </row>
    <row r="514" spans="1:8" x14ac:dyDescent="0.3">
      <c r="A514" s="23" t="s">
        <v>1476</v>
      </c>
      <c r="B514" s="23" t="s">
        <v>1477</v>
      </c>
      <c r="C514" s="26">
        <v>288798720000</v>
      </c>
      <c r="D514" s="23" t="s">
        <v>160</v>
      </c>
      <c r="E514" s="23" t="s">
        <v>161</v>
      </c>
      <c r="F514" s="26">
        <v>-160253.52727272699</v>
      </c>
      <c r="G514" s="23" t="s">
        <v>35</v>
      </c>
      <c r="H514" s="23">
        <v>30</v>
      </c>
    </row>
    <row r="515" spans="1:8" x14ac:dyDescent="0.3">
      <c r="A515" s="23" t="s">
        <v>1478</v>
      </c>
      <c r="B515" s="23" t="s">
        <v>1479</v>
      </c>
      <c r="C515" s="26">
        <v>289835940000</v>
      </c>
      <c r="D515" s="23" t="s">
        <v>1480</v>
      </c>
      <c r="E515" s="23" t="s">
        <v>166</v>
      </c>
      <c r="F515" s="26">
        <v>-163653.787878787</v>
      </c>
      <c r="G515" s="23" t="s">
        <v>30</v>
      </c>
      <c r="H515" s="23">
        <v>20</v>
      </c>
    </row>
    <row r="516" spans="1:8" x14ac:dyDescent="0.3">
      <c r="A516" s="23" t="s">
        <v>1481</v>
      </c>
      <c r="B516" s="23" t="s">
        <v>1482</v>
      </c>
      <c r="C516" s="26">
        <v>290873160000</v>
      </c>
      <c r="D516" s="23" t="s">
        <v>1483</v>
      </c>
      <c r="E516" s="23" t="s">
        <v>171</v>
      </c>
      <c r="F516" s="26">
        <v>-167054.048484848</v>
      </c>
      <c r="G516" s="23" t="s">
        <v>172</v>
      </c>
      <c r="H516" s="23">
        <v>10</v>
      </c>
    </row>
    <row r="517" spans="1:8" x14ac:dyDescent="0.3">
      <c r="A517" s="23" t="s">
        <v>1484</v>
      </c>
      <c r="B517" s="23" t="s">
        <v>1485</v>
      </c>
      <c r="C517" s="26">
        <v>291910380000</v>
      </c>
      <c r="D517" s="23" t="s">
        <v>176</v>
      </c>
      <c r="E517" s="23" t="s">
        <v>177</v>
      </c>
      <c r="F517" s="26">
        <v>-170454.30909090801</v>
      </c>
      <c r="G517" s="23" t="s">
        <v>57</v>
      </c>
      <c r="H517" s="23">
        <v>10</v>
      </c>
    </row>
    <row r="518" spans="1:8" x14ac:dyDescent="0.3">
      <c r="A518" s="23" t="s">
        <v>1486</v>
      </c>
      <c r="B518" s="23" t="s">
        <v>1487</v>
      </c>
      <c r="C518" s="26">
        <v>292947600000</v>
      </c>
      <c r="D518" s="23" t="s">
        <v>1488</v>
      </c>
      <c r="E518" s="23" t="s">
        <v>182</v>
      </c>
      <c r="F518" s="26" t="s">
        <v>1489</v>
      </c>
      <c r="G518" s="23" t="s">
        <v>184</v>
      </c>
      <c r="H518" s="23">
        <v>20</v>
      </c>
    </row>
    <row r="519" spans="1:8" x14ac:dyDescent="0.3">
      <c r="A519" s="23" t="s">
        <v>1490</v>
      </c>
      <c r="B519" s="23" t="s">
        <v>1491</v>
      </c>
      <c r="C519" s="26">
        <v>293984820000</v>
      </c>
      <c r="D519" s="23" t="s">
        <v>187</v>
      </c>
      <c r="E519" s="23" t="s">
        <v>188</v>
      </c>
      <c r="F519" s="26">
        <v>368733</v>
      </c>
      <c r="G519" s="23" t="s">
        <v>188</v>
      </c>
      <c r="H519" s="23">
        <v>20</v>
      </c>
    </row>
    <row r="520" spans="1:8" x14ac:dyDescent="0.3">
      <c r="A520" s="23" t="s">
        <v>1492</v>
      </c>
      <c r="B520" s="23" t="s">
        <v>1493</v>
      </c>
      <c r="C520" s="26">
        <v>295022040000</v>
      </c>
      <c r="D520" s="23" t="s">
        <v>1494</v>
      </c>
      <c r="E520" s="23" t="s">
        <v>192</v>
      </c>
      <c r="F520" s="26">
        <v>393707</v>
      </c>
      <c r="G520" s="23" t="s">
        <v>35</v>
      </c>
      <c r="H520" s="23">
        <v>20</v>
      </c>
    </row>
    <row r="521" spans="1:8" x14ac:dyDescent="0.3">
      <c r="A521" s="23" t="s">
        <v>1495</v>
      </c>
      <c r="B521" s="23" t="s">
        <v>1496</v>
      </c>
      <c r="C521" s="26">
        <v>296059260000</v>
      </c>
      <c r="D521" s="23" t="s">
        <v>1497</v>
      </c>
      <c r="E521" s="23" t="s">
        <v>197</v>
      </c>
      <c r="F521" s="26" t="s">
        <v>1498</v>
      </c>
      <c r="G521" s="23" t="s">
        <v>184</v>
      </c>
      <c r="H521" s="23">
        <v>10</v>
      </c>
    </row>
    <row r="522" spans="1:8" x14ac:dyDescent="0.3">
      <c r="A522" s="23" t="s">
        <v>1499</v>
      </c>
      <c r="B522" s="23" t="s">
        <v>1500</v>
      </c>
      <c r="C522" s="26">
        <v>297096480000</v>
      </c>
      <c r="D522" s="23" t="s">
        <v>1501</v>
      </c>
      <c r="E522" s="23" t="s">
        <v>203</v>
      </c>
      <c r="F522" s="26">
        <v>233824.42857142899</v>
      </c>
      <c r="G522" s="23" t="s">
        <v>115</v>
      </c>
      <c r="H522" s="23">
        <v>10</v>
      </c>
    </row>
    <row r="523" spans="1:8" x14ac:dyDescent="0.3">
      <c r="A523" s="23" t="s">
        <v>1502</v>
      </c>
      <c r="B523" s="23" t="s">
        <v>1503</v>
      </c>
      <c r="C523" s="26">
        <v>298133700000</v>
      </c>
      <c r="D523" s="23" t="s">
        <v>1504</v>
      </c>
      <c r="E523" s="23" t="s">
        <v>208</v>
      </c>
      <c r="F523" s="26">
        <v>239249.107142858</v>
      </c>
      <c r="G523" s="23" t="s">
        <v>57</v>
      </c>
      <c r="H523" s="23">
        <v>20</v>
      </c>
    </row>
    <row r="524" spans="1:8" x14ac:dyDescent="0.3">
      <c r="A524" s="23" t="s">
        <v>1505</v>
      </c>
      <c r="B524" s="23" t="s">
        <v>1506</v>
      </c>
      <c r="C524" s="26">
        <v>299170920000</v>
      </c>
      <c r="D524" s="23" t="s">
        <v>211</v>
      </c>
      <c r="E524" s="23" t="s">
        <v>188</v>
      </c>
      <c r="F524" s="26">
        <v>244673.785714286</v>
      </c>
      <c r="G524" s="23" t="s">
        <v>188</v>
      </c>
      <c r="H524" s="23">
        <v>20</v>
      </c>
    </row>
    <row r="525" spans="1:8" x14ac:dyDescent="0.3">
      <c r="A525" s="23" t="s">
        <v>1507</v>
      </c>
      <c r="B525" s="23" t="s">
        <v>1508</v>
      </c>
      <c r="C525" s="26">
        <v>300208140000</v>
      </c>
      <c r="D525" s="23" t="s">
        <v>215</v>
      </c>
      <c r="E525" s="23" t="s">
        <v>216</v>
      </c>
      <c r="F525" s="26">
        <v>250098.46428571499</v>
      </c>
      <c r="G525" s="23" t="s">
        <v>30</v>
      </c>
      <c r="H525" s="23">
        <v>30</v>
      </c>
    </row>
    <row r="526" spans="1:8" x14ac:dyDescent="0.3">
      <c r="A526" s="23" t="s">
        <v>1509</v>
      </c>
      <c r="B526" s="23" t="s">
        <v>1510</v>
      </c>
      <c r="C526" s="26">
        <v>301245360000</v>
      </c>
      <c r="D526" s="23" t="s">
        <v>1511</v>
      </c>
      <c r="E526" s="23" t="s">
        <v>221</v>
      </c>
      <c r="F526" s="26">
        <v>255523.14285714299</v>
      </c>
      <c r="G526" s="23" t="s">
        <v>30</v>
      </c>
      <c r="H526" s="23">
        <v>10</v>
      </c>
    </row>
    <row r="527" spans="1:8" x14ac:dyDescent="0.3">
      <c r="A527" s="23" t="s">
        <v>1512</v>
      </c>
      <c r="B527" s="23" t="s">
        <v>1513</v>
      </c>
      <c r="C527" s="26">
        <v>302282580000</v>
      </c>
      <c r="D527" s="23" t="s">
        <v>28</v>
      </c>
      <c r="E527" s="23" t="s">
        <v>29</v>
      </c>
      <c r="F527" s="26">
        <v>260947.821428572</v>
      </c>
      <c r="G527" s="23" t="s">
        <v>30</v>
      </c>
      <c r="H527" s="23">
        <v>10</v>
      </c>
    </row>
    <row r="528" spans="1:8" x14ac:dyDescent="0.3">
      <c r="A528" s="23" t="s">
        <v>1514</v>
      </c>
      <c r="B528" s="23" t="s">
        <v>1515</v>
      </c>
      <c r="C528" s="26">
        <v>303319800000</v>
      </c>
      <c r="D528" s="23" t="s">
        <v>1516</v>
      </c>
      <c r="E528" s="23" t="s">
        <v>34</v>
      </c>
      <c r="F528" s="26">
        <v>266372.5</v>
      </c>
      <c r="G528" s="23" t="s">
        <v>35</v>
      </c>
      <c r="H528" s="23">
        <v>10</v>
      </c>
    </row>
    <row r="529" spans="1:8" x14ac:dyDescent="0.3">
      <c r="A529" s="23" t="s">
        <v>1517</v>
      </c>
      <c r="B529" s="23" t="s">
        <v>1518</v>
      </c>
      <c r="C529" s="26">
        <v>304357020000</v>
      </c>
      <c r="D529" s="23" t="s">
        <v>39</v>
      </c>
      <c r="E529" s="23" t="s">
        <v>40</v>
      </c>
      <c r="F529" s="26" t="s">
        <v>41</v>
      </c>
      <c r="G529" s="23" t="s">
        <v>42</v>
      </c>
      <c r="H529" s="23">
        <v>20</v>
      </c>
    </row>
    <row r="530" spans="1:8" x14ac:dyDescent="0.3">
      <c r="A530" s="23" t="s">
        <v>1519</v>
      </c>
      <c r="B530" s="23" t="s">
        <v>1520</v>
      </c>
      <c r="C530" s="26">
        <v>305394240000</v>
      </c>
      <c r="D530" s="23" t="s">
        <v>1521</v>
      </c>
      <c r="E530" s="23" t="s">
        <v>47</v>
      </c>
      <c r="F530" s="26">
        <v>-230262.33333333299</v>
      </c>
      <c r="G530" s="23" t="s">
        <v>48</v>
      </c>
      <c r="H530" s="23">
        <v>10</v>
      </c>
    </row>
    <row r="531" spans="1:8" x14ac:dyDescent="0.3">
      <c r="A531" s="23" t="s">
        <v>1522</v>
      </c>
      <c r="B531" s="23" t="s">
        <v>1523</v>
      </c>
      <c r="C531" s="26">
        <v>306431460000</v>
      </c>
      <c r="D531" s="23" t="s">
        <v>1524</v>
      </c>
      <c r="E531" s="23" t="s">
        <v>52</v>
      </c>
      <c r="F531" s="26">
        <v>-243249.33333333299</v>
      </c>
      <c r="G531" s="23" t="s">
        <v>35</v>
      </c>
      <c r="H531" s="23">
        <v>20</v>
      </c>
    </row>
    <row r="532" spans="1:8" x14ac:dyDescent="0.3">
      <c r="A532" s="23" t="s">
        <v>1525</v>
      </c>
      <c r="B532" s="23" t="s">
        <v>1526</v>
      </c>
      <c r="C532" s="26">
        <v>307468680000</v>
      </c>
      <c r="D532" s="23" t="s">
        <v>1527</v>
      </c>
      <c r="E532" s="23" t="s">
        <v>56</v>
      </c>
      <c r="F532" s="26">
        <v>-256236.33333333299</v>
      </c>
      <c r="G532" s="23" t="s">
        <v>57</v>
      </c>
      <c r="H532" s="23">
        <v>10</v>
      </c>
    </row>
    <row r="533" spans="1:8" x14ac:dyDescent="0.3">
      <c r="A533" s="23" t="s">
        <v>1528</v>
      </c>
      <c r="B533" s="23" t="s">
        <v>1529</v>
      </c>
      <c r="C533" s="26">
        <v>308505900000</v>
      </c>
      <c r="D533" s="23" t="s">
        <v>1530</v>
      </c>
      <c r="E533" s="23" t="s">
        <v>62</v>
      </c>
      <c r="F533" s="26" t="s">
        <v>1531</v>
      </c>
      <c r="G533" s="23" t="s">
        <v>64</v>
      </c>
      <c r="H533" s="23">
        <v>20</v>
      </c>
    </row>
    <row r="534" spans="1:8" x14ac:dyDescent="0.3">
      <c r="A534" s="23" t="s">
        <v>1532</v>
      </c>
      <c r="B534" s="23" t="s">
        <v>1533</v>
      </c>
      <c r="C534" s="26">
        <v>309543120000</v>
      </c>
      <c r="D534" s="23" t="s">
        <v>1534</v>
      </c>
      <c r="E534" s="23" t="s">
        <v>69</v>
      </c>
      <c r="F534" s="26">
        <v>246752.03571429101</v>
      </c>
      <c r="G534" s="23" t="s">
        <v>57</v>
      </c>
      <c r="H534" s="23">
        <v>10</v>
      </c>
    </row>
    <row r="535" spans="1:8" x14ac:dyDescent="0.3">
      <c r="A535" s="23" t="s">
        <v>1535</v>
      </c>
      <c r="B535" s="23" t="s">
        <v>1536</v>
      </c>
      <c r="C535" s="26">
        <v>310580340000</v>
      </c>
      <c r="D535" s="23" t="s">
        <v>73</v>
      </c>
      <c r="E535" s="23" t="s">
        <v>74</v>
      </c>
      <c r="F535" s="26">
        <v>252480.57142857701</v>
      </c>
      <c r="G535" s="23" t="s">
        <v>30</v>
      </c>
      <c r="H535" s="23">
        <v>10</v>
      </c>
    </row>
    <row r="536" spans="1:8" x14ac:dyDescent="0.3">
      <c r="A536" s="23" t="s">
        <v>1537</v>
      </c>
      <c r="B536" s="23" t="s">
        <v>1538</v>
      </c>
      <c r="C536" s="26">
        <v>311617560000</v>
      </c>
      <c r="D536" s="23" t="s">
        <v>1539</v>
      </c>
      <c r="E536" s="23" t="s">
        <v>78</v>
      </c>
      <c r="F536" s="26">
        <v>258209.10714286301</v>
      </c>
      <c r="G536" s="23" t="s">
        <v>35</v>
      </c>
      <c r="H536" s="23">
        <v>10</v>
      </c>
    </row>
    <row r="537" spans="1:8" x14ac:dyDescent="0.3">
      <c r="A537" s="23" t="s">
        <v>1540</v>
      </c>
      <c r="B537" s="23" t="s">
        <v>1541</v>
      </c>
      <c r="C537" s="26">
        <v>312654780000</v>
      </c>
      <c r="D537" s="23" t="s">
        <v>1542</v>
      </c>
      <c r="E537" s="23" t="s">
        <v>83</v>
      </c>
      <c r="F537" s="26">
        <v>263937.64285714901</v>
      </c>
      <c r="G537" s="23" t="s">
        <v>84</v>
      </c>
      <c r="H537" s="23">
        <v>10</v>
      </c>
    </row>
    <row r="538" spans="1:8" x14ac:dyDescent="0.3">
      <c r="A538" s="23" t="s">
        <v>1543</v>
      </c>
      <c r="B538" s="23" t="s">
        <v>1544</v>
      </c>
      <c r="C538" s="26" t="s">
        <v>1545</v>
      </c>
      <c r="D538" s="23" t="s">
        <v>28</v>
      </c>
      <c r="E538" s="23" t="s">
        <v>29</v>
      </c>
      <c r="F538" s="26">
        <v>122636</v>
      </c>
      <c r="G538" s="23" t="s">
        <v>30</v>
      </c>
      <c r="H538" s="23">
        <v>20</v>
      </c>
    </row>
    <row r="539" spans="1:8" x14ac:dyDescent="0.3">
      <c r="A539" s="23" t="s">
        <v>1546</v>
      </c>
      <c r="B539" s="23" t="s">
        <v>1547</v>
      </c>
      <c r="C539" s="26">
        <v>5085552561</v>
      </c>
      <c r="D539" s="23" t="s">
        <v>1280</v>
      </c>
      <c r="E539" s="23" t="s">
        <v>34</v>
      </c>
      <c r="F539" s="26">
        <v>129189</v>
      </c>
      <c r="G539" s="23" t="s">
        <v>35</v>
      </c>
      <c r="H539" s="23">
        <v>30</v>
      </c>
    </row>
    <row r="540" spans="1:8" x14ac:dyDescent="0.3">
      <c r="A540" s="23" t="s">
        <v>1548</v>
      </c>
      <c r="B540" s="23" t="s">
        <v>1549</v>
      </c>
      <c r="C540" s="26" t="s">
        <v>1550</v>
      </c>
      <c r="D540" s="23" t="s">
        <v>39</v>
      </c>
      <c r="E540" s="23" t="s">
        <v>40</v>
      </c>
      <c r="F540" s="26" t="s">
        <v>41</v>
      </c>
      <c r="G540" s="23" t="s">
        <v>42</v>
      </c>
      <c r="H540" s="23">
        <v>20</v>
      </c>
    </row>
    <row r="541" spans="1:8" x14ac:dyDescent="0.3">
      <c r="A541" s="23" t="s">
        <v>1551</v>
      </c>
      <c r="B541" s="23" t="s">
        <v>1552</v>
      </c>
      <c r="C541" s="26" t="s">
        <v>1553</v>
      </c>
      <c r="D541" s="23" t="s">
        <v>1285</v>
      </c>
      <c r="E541" s="23" t="s">
        <v>47</v>
      </c>
      <c r="F541" s="26">
        <v>-191301.33333333299</v>
      </c>
      <c r="G541" s="23" t="s">
        <v>48</v>
      </c>
      <c r="H541" s="23">
        <v>20</v>
      </c>
    </row>
    <row r="542" spans="1:8" x14ac:dyDescent="0.3">
      <c r="A542" s="23" t="s">
        <v>1554</v>
      </c>
      <c r="B542" s="23" t="s">
        <v>1555</v>
      </c>
      <c r="C542" s="26">
        <v>-64338721445</v>
      </c>
      <c r="D542" s="23" t="s">
        <v>1288</v>
      </c>
      <c r="E542" s="23" t="s">
        <v>52</v>
      </c>
      <c r="F542" s="26">
        <v>-204288.33333333299</v>
      </c>
      <c r="G542" s="23" t="s">
        <v>35</v>
      </c>
      <c r="H542" s="23">
        <v>10</v>
      </c>
    </row>
    <row r="543" spans="1:8" x14ac:dyDescent="0.3">
      <c r="A543" s="23" t="s">
        <v>1556</v>
      </c>
      <c r="B543" s="23" t="s">
        <v>1557</v>
      </c>
      <c r="C543" s="29">
        <v>-70214911445</v>
      </c>
      <c r="D543" s="23" t="s">
        <v>1291</v>
      </c>
      <c r="E543" s="23" t="s">
        <v>56</v>
      </c>
      <c r="F543" s="26">
        <v>-217275.33333333299</v>
      </c>
      <c r="G543" s="23" t="s">
        <v>57</v>
      </c>
      <c r="H543" s="23">
        <v>10</v>
      </c>
    </row>
    <row r="544" spans="1:8" x14ac:dyDescent="0.3">
      <c r="A544" s="23" t="s">
        <v>1558</v>
      </c>
      <c r="B544" s="23" t="s">
        <v>1559</v>
      </c>
      <c r="C544" s="26" t="s">
        <v>1560</v>
      </c>
      <c r="D544" s="23" t="s">
        <v>1294</v>
      </c>
      <c r="E544" s="23" t="s">
        <v>62</v>
      </c>
      <c r="F544" s="26" t="s">
        <v>1295</v>
      </c>
      <c r="G544" s="23" t="s">
        <v>64</v>
      </c>
      <c r="H544" s="23">
        <v>10</v>
      </c>
    </row>
    <row r="545" spans="1:8" x14ac:dyDescent="0.3">
      <c r="A545" s="23" t="s">
        <v>1561</v>
      </c>
      <c r="B545" s="23" t="s">
        <v>1562</v>
      </c>
      <c r="C545" s="26" t="s">
        <v>1563</v>
      </c>
      <c r="D545" s="23" t="s">
        <v>1298</v>
      </c>
      <c r="E545" s="23" t="s">
        <v>69</v>
      </c>
      <c r="F545" s="26">
        <v>292580.32142857101</v>
      </c>
      <c r="G545" s="23" t="s">
        <v>57</v>
      </c>
      <c r="H545" s="23">
        <v>10</v>
      </c>
    </row>
    <row r="546" spans="1:8" x14ac:dyDescent="0.3">
      <c r="A546" s="23" t="s">
        <v>1564</v>
      </c>
      <c r="B546" s="23" t="s">
        <v>1565</v>
      </c>
      <c r="C546" s="26" t="s">
        <v>1566</v>
      </c>
      <c r="D546" s="23" t="s">
        <v>73</v>
      </c>
      <c r="E546" s="23" t="s">
        <v>74</v>
      </c>
      <c r="F546" s="26">
        <v>298308.85714285698</v>
      </c>
      <c r="G546" s="23" t="s">
        <v>30</v>
      </c>
      <c r="H546" s="23">
        <v>20</v>
      </c>
    </row>
    <row r="547" spans="1:8" x14ac:dyDescent="0.3">
      <c r="A547" s="23" t="s">
        <v>1567</v>
      </c>
      <c r="B547" s="23" t="s">
        <v>1568</v>
      </c>
      <c r="C547" s="26">
        <v>6505556815</v>
      </c>
      <c r="D547" s="23" t="s">
        <v>1303</v>
      </c>
      <c r="E547" s="23" t="s">
        <v>78</v>
      </c>
      <c r="F547" s="26">
        <v>304037.39285714302</v>
      </c>
      <c r="G547" s="23" t="s">
        <v>35</v>
      </c>
      <c r="H547" s="23">
        <v>20</v>
      </c>
    </row>
    <row r="548" spans="1:8" x14ac:dyDescent="0.3">
      <c r="A548" s="23" t="s">
        <v>1569</v>
      </c>
      <c r="B548" s="23" t="s">
        <v>1570</v>
      </c>
      <c r="C548" s="26" t="s">
        <v>1571</v>
      </c>
      <c r="D548" s="23" t="s">
        <v>1306</v>
      </c>
      <c r="E548" s="23" t="s">
        <v>83</v>
      </c>
      <c r="F548" s="26">
        <v>309765.928571428</v>
      </c>
      <c r="G548" s="23" t="s">
        <v>84</v>
      </c>
      <c r="H548" s="23">
        <v>20</v>
      </c>
    </row>
    <row r="549" spans="1:8" x14ac:dyDescent="0.3">
      <c r="A549" s="23" t="s">
        <v>1572</v>
      </c>
      <c r="B549" s="23" t="s">
        <v>1573</v>
      </c>
      <c r="C549" s="26" t="s">
        <v>1574</v>
      </c>
      <c r="D549" s="23" t="s">
        <v>1433</v>
      </c>
      <c r="E549" s="23" t="s">
        <v>74</v>
      </c>
      <c r="F549" s="26">
        <v>315494.46428571403</v>
      </c>
      <c r="G549" s="23" t="s">
        <v>30</v>
      </c>
      <c r="H549" s="23">
        <v>30</v>
      </c>
    </row>
    <row r="550" spans="1:8" x14ac:dyDescent="0.3">
      <c r="A550" s="23" t="s">
        <v>1575</v>
      </c>
      <c r="B550" s="23" t="s">
        <v>1576</v>
      </c>
      <c r="C550" s="26">
        <v>29165624411</v>
      </c>
      <c r="D550" s="23" t="s">
        <v>1436</v>
      </c>
      <c r="E550" s="23" t="s">
        <v>92</v>
      </c>
      <c r="F550" s="26">
        <v>321223</v>
      </c>
      <c r="G550" s="23" t="s">
        <v>35</v>
      </c>
      <c r="H550" s="23">
        <v>10</v>
      </c>
    </row>
    <row r="551" spans="1:8" x14ac:dyDescent="0.3">
      <c r="A551" s="23" t="s">
        <v>1577</v>
      </c>
      <c r="B551" s="23" t="s">
        <v>1578</v>
      </c>
      <c r="C551" s="26">
        <v>31255630307</v>
      </c>
      <c r="D551" s="23" t="s">
        <v>1439</v>
      </c>
      <c r="E551" s="23" t="s">
        <v>96</v>
      </c>
      <c r="F551" s="26">
        <v>326951.53571428498</v>
      </c>
      <c r="G551" s="23" t="s">
        <v>35</v>
      </c>
      <c r="H551" s="23">
        <v>10</v>
      </c>
    </row>
    <row r="552" spans="1:8" x14ac:dyDescent="0.3">
      <c r="A552" s="23" t="s">
        <v>1579</v>
      </c>
      <c r="B552" s="23" t="s">
        <v>1580</v>
      </c>
      <c r="C552" s="26" t="s">
        <v>1581</v>
      </c>
      <c r="D552" s="23" t="s">
        <v>100</v>
      </c>
      <c r="E552" s="23" t="s">
        <v>101</v>
      </c>
      <c r="F552" s="26" t="s">
        <v>1442</v>
      </c>
      <c r="G552" s="23" t="s">
        <v>84</v>
      </c>
      <c r="H552" s="23">
        <v>20</v>
      </c>
    </row>
    <row r="553" spans="1:8" x14ac:dyDescent="0.3">
      <c r="A553" s="23" t="s">
        <v>1582</v>
      </c>
      <c r="B553" s="23" t="s">
        <v>1583</v>
      </c>
      <c r="C553" s="26" t="s">
        <v>1584</v>
      </c>
      <c r="D553" s="23" t="s">
        <v>1445</v>
      </c>
      <c r="E553" s="23" t="s">
        <v>107</v>
      </c>
      <c r="F553" s="26" t="s">
        <v>1446</v>
      </c>
      <c r="G553" s="23" t="s">
        <v>109</v>
      </c>
      <c r="H553" s="23">
        <v>10</v>
      </c>
    </row>
    <row r="554" spans="1:8" x14ac:dyDescent="0.3">
      <c r="A554" s="23" t="s">
        <v>1585</v>
      </c>
      <c r="B554" s="23" t="s">
        <v>1586</v>
      </c>
      <c r="C554" s="26" t="s">
        <v>1587</v>
      </c>
      <c r="D554" s="23" t="s">
        <v>1449</v>
      </c>
      <c r="E554" s="23" t="s">
        <v>114</v>
      </c>
      <c r="F554" s="26">
        <v>853321.66666666698</v>
      </c>
      <c r="G554" s="23" t="s">
        <v>115</v>
      </c>
      <c r="H554" s="23">
        <v>20</v>
      </c>
    </row>
    <row r="555" spans="1:8" x14ac:dyDescent="0.3">
      <c r="A555" s="23" t="s">
        <v>1588</v>
      </c>
      <c r="B555" s="23" t="s">
        <v>1589</v>
      </c>
      <c r="C555" s="26">
        <v>-21284435110</v>
      </c>
      <c r="D555" s="23" t="s">
        <v>1452</v>
      </c>
      <c r="E555" s="23" t="s">
        <v>119</v>
      </c>
      <c r="F555" s="26">
        <v>899592.66666666698</v>
      </c>
      <c r="G555" s="23" t="s">
        <v>35</v>
      </c>
      <c r="H555" s="23">
        <v>10</v>
      </c>
    </row>
    <row r="556" spans="1:8" x14ac:dyDescent="0.3">
      <c r="A556" s="23" t="s">
        <v>1590</v>
      </c>
      <c r="B556" s="23" t="s">
        <v>1591</v>
      </c>
      <c r="C556" s="26">
        <v>-23404433990</v>
      </c>
      <c r="D556" s="23" t="s">
        <v>1455</v>
      </c>
      <c r="E556" s="23" t="s">
        <v>123</v>
      </c>
      <c r="F556" s="26">
        <v>945863.66666666698</v>
      </c>
      <c r="G556" s="23" t="s">
        <v>35</v>
      </c>
      <c r="H556" s="23">
        <v>20</v>
      </c>
    </row>
    <row r="557" spans="1:8" x14ac:dyDescent="0.3">
      <c r="A557" s="23" t="s">
        <v>1592</v>
      </c>
      <c r="B557" s="23" t="s">
        <v>1593</v>
      </c>
      <c r="C557" s="26" t="s">
        <v>1594</v>
      </c>
      <c r="D557" s="23" t="s">
        <v>127</v>
      </c>
      <c r="E557" s="23" t="s">
        <v>128</v>
      </c>
      <c r="F557" s="26" t="s">
        <v>1458</v>
      </c>
      <c r="G557" s="23" t="s">
        <v>130</v>
      </c>
      <c r="H557" s="23">
        <v>10</v>
      </c>
    </row>
    <row r="558" spans="1:8" x14ac:dyDescent="0.3">
      <c r="A558" s="23" t="s">
        <v>1595</v>
      </c>
      <c r="B558" s="23" t="s">
        <v>1596</v>
      </c>
      <c r="C558" s="26">
        <v>3105552379</v>
      </c>
      <c r="D558" s="23" t="s">
        <v>1461</v>
      </c>
      <c r="E558" s="23" t="s">
        <v>134</v>
      </c>
      <c r="F558" s="26">
        <v>-139851.96363636301</v>
      </c>
      <c r="G558" s="23" t="s">
        <v>35</v>
      </c>
      <c r="H558" s="23">
        <v>10</v>
      </c>
    </row>
    <row r="559" spans="1:8" x14ac:dyDescent="0.3">
      <c r="A559" s="23" t="s">
        <v>1597</v>
      </c>
      <c r="B559" s="23" t="s">
        <v>1598</v>
      </c>
      <c r="C559" s="26" t="s">
        <v>1599</v>
      </c>
      <c r="D559" s="23" t="s">
        <v>1464</v>
      </c>
      <c r="E559" s="23" t="s">
        <v>139</v>
      </c>
      <c r="F559" s="26">
        <v>-143252.22424242401</v>
      </c>
      <c r="G559" s="23" t="s">
        <v>84</v>
      </c>
      <c r="H559" s="23">
        <v>20</v>
      </c>
    </row>
    <row r="560" spans="1:8" x14ac:dyDescent="0.3">
      <c r="A560" s="23" t="s">
        <v>1600</v>
      </c>
      <c r="B560" s="23" t="s">
        <v>1601</v>
      </c>
      <c r="C560" s="26" t="s">
        <v>1602</v>
      </c>
      <c r="D560" s="23" t="s">
        <v>143</v>
      </c>
      <c r="E560" s="23" t="s">
        <v>144</v>
      </c>
      <c r="F560" s="26">
        <v>-146652.48484848501</v>
      </c>
      <c r="G560" s="23" t="s">
        <v>30</v>
      </c>
      <c r="H560" s="23">
        <v>10</v>
      </c>
    </row>
    <row r="561" spans="1:8" x14ac:dyDescent="0.3">
      <c r="A561" s="23" t="s">
        <v>1603</v>
      </c>
      <c r="B561" s="23" t="s">
        <v>1604</v>
      </c>
      <c r="C561" s="26">
        <v>5085559561</v>
      </c>
      <c r="D561" s="23" t="s">
        <v>1469</v>
      </c>
      <c r="E561" s="23" t="s">
        <v>34</v>
      </c>
      <c r="F561" s="26">
        <v>-150052.74545454499</v>
      </c>
      <c r="G561" s="23" t="s">
        <v>35</v>
      </c>
      <c r="H561" s="23">
        <v>10</v>
      </c>
    </row>
    <row r="562" spans="1:8" x14ac:dyDescent="0.3">
      <c r="A562" s="23" t="s">
        <v>1605</v>
      </c>
      <c r="B562" s="23" t="s">
        <v>1606</v>
      </c>
      <c r="C562" s="26" t="s">
        <v>1607</v>
      </c>
      <c r="D562" s="23" t="s">
        <v>1472</v>
      </c>
      <c r="E562" s="23" t="s">
        <v>152</v>
      </c>
      <c r="F562" s="26">
        <v>-153453.00606060601</v>
      </c>
      <c r="G562" s="23" t="s">
        <v>153</v>
      </c>
      <c r="H562" s="23">
        <v>20</v>
      </c>
    </row>
    <row r="563" spans="1:8" x14ac:dyDescent="0.3">
      <c r="A563" s="23" t="s">
        <v>1608</v>
      </c>
      <c r="B563" s="23" t="s">
        <v>1609</v>
      </c>
      <c r="C563" s="26">
        <v>51475620075</v>
      </c>
      <c r="D563" s="23" t="s">
        <v>1475</v>
      </c>
      <c r="E563" s="23" t="s">
        <v>157</v>
      </c>
      <c r="F563" s="26">
        <v>-156853.26666666599</v>
      </c>
      <c r="G563" s="23" t="s">
        <v>35</v>
      </c>
      <c r="H563" s="23">
        <v>20</v>
      </c>
    </row>
    <row r="564" spans="1:8" x14ac:dyDescent="0.3">
      <c r="A564" s="23" t="s">
        <v>1610</v>
      </c>
      <c r="B564" s="23" t="s">
        <v>1611</v>
      </c>
      <c r="C564" s="26">
        <v>55585625785</v>
      </c>
      <c r="D564" s="23" t="s">
        <v>160</v>
      </c>
      <c r="E564" s="23" t="s">
        <v>161</v>
      </c>
      <c r="F564" s="26">
        <v>-160253.52727272699</v>
      </c>
      <c r="G564" s="23" t="s">
        <v>35</v>
      </c>
      <c r="H564" s="23">
        <v>20</v>
      </c>
    </row>
    <row r="565" spans="1:8" x14ac:dyDescent="0.3">
      <c r="A565" s="23" t="s">
        <v>1612</v>
      </c>
      <c r="B565" s="23" t="s">
        <v>1613</v>
      </c>
      <c r="C565" s="26" t="s">
        <v>1614</v>
      </c>
      <c r="D565" s="23" t="s">
        <v>1480</v>
      </c>
      <c r="E565" s="23" t="s">
        <v>166</v>
      </c>
      <c r="F565" s="26">
        <v>-163653.78787878799</v>
      </c>
      <c r="G565" s="23" t="s">
        <v>30</v>
      </c>
      <c r="H565" s="23">
        <v>10</v>
      </c>
    </row>
    <row r="566" spans="1:8" x14ac:dyDescent="0.3">
      <c r="A566" s="23" t="s">
        <v>1615</v>
      </c>
      <c r="B566" s="23" t="s">
        <v>1616</v>
      </c>
      <c r="C566" s="26" t="s">
        <v>1617</v>
      </c>
      <c r="D566" s="23" t="s">
        <v>1483</v>
      </c>
      <c r="E566" s="23" t="s">
        <v>171</v>
      </c>
      <c r="F566" s="26">
        <v>-167054.048484848</v>
      </c>
      <c r="G566" s="23" t="s">
        <v>172</v>
      </c>
      <c r="H566" s="23">
        <v>20</v>
      </c>
    </row>
    <row r="567" spans="1:8" x14ac:dyDescent="0.3">
      <c r="A567" s="23" t="s">
        <v>1618</v>
      </c>
      <c r="B567" s="23" t="s">
        <v>1619</v>
      </c>
      <c r="C567" s="26" t="s">
        <v>1620</v>
      </c>
      <c r="D567" s="23" t="s">
        <v>176</v>
      </c>
      <c r="E567" s="23" t="s">
        <v>177</v>
      </c>
      <c r="F567" s="26">
        <v>-170454.309090909</v>
      </c>
      <c r="G567" s="23" t="s">
        <v>57</v>
      </c>
      <c r="H567" s="23">
        <v>10</v>
      </c>
    </row>
    <row r="568" spans="1:8" x14ac:dyDescent="0.3">
      <c r="A568" s="23" t="s">
        <v>1621</v>
      </c>
      <c r="B568" s="23" t="s">
        <v>1622</v>
      </c>
      <c r="C568" s="26" t="s">
        <v>1623</v>
      </c>
      <c r="D568" s="23" t="s">
        <v>1488</v>
      </c>
      <c r="E568" s="23" t="s">
        <v>182</v>
      </c>
      <c r="F568" s="26" t="s">
        <v>1489</v>
      </c>
      <c r="G568" s="23" t="s">
        <v>184</v>
      </c>
      <c r="H568" s="23">
        <v>10</v>
      </c>
    </row>
    <row r="569" spans="1:8" x14ac:dyDescent="0.3">
      <c r="A569" s="23" t="s">
        <v>1624</v>
      </c>
      <c r="B569" s="23" t="s">
        <v>1625</v>
      </c>
      <c r="C569" s="29">
        <v>17012055095</v>
      </c>
      <c r="D569" s="23" t="s">
        <v>187</v>
      </c>
      <c r="E569" s="23" t="s">
        <v>188</v>
      </c>
      <c r="F569" s="26">
        <v>368733</v>
      </c>
      <c r="G569" s="23" t="s">
        <v>188</v>
      </c>
      <c r="H569" s="23">
        <v>20</v>
      </c>
    </row>
    <row r="570" spans="1:8" x14ac:dyDescent="0.3">
      <c r="A570" s="23" t="s">
        <v>1626</v>
      </c>
      <c r="B570" s="23" t="s">
        <v>1627</v>
      </c>
      <c r="C570" s="26">
        <v>18375372890</v>
      </c>
      <c r="D570" s="23" t="s">
        <v>1494</v>
      </c>
      <c r="E570" s="23" t="s">
        <v>192</v>
      </c>
      <c r="F570" s="26">
        <v>393707</v>
      </c>
      <c r="G570" s="23" t="s">
        <v>35</v>
      </c>
      <c r="H570" s="23">
        <v>20</v>
      </c>
    </row>
    <row r="571" spans="1:8" x14ac:dyDescent="0.3">
      <c r="A571" s="23" t="s">
        <v>1628</v>
      </c>
      <c r="B571" s="23" t="s">
        <v>1629</v>
      </c>
      <c r="C571" s="26" t="s">
        <v>1630</v>
      </c>
      <c r="D571" s="23" t="s">
        <v>1497</v>
      </c>
      <c r="E571" s="23" t="s">
        <v>197</v>
      </c>
      <c r="F571" s="26" t="s">
        <v>1498</v>
      </c>
      <c r="G571" s="23" t="s">
        <v>184</v>
      </c>
      <c r="H571" s="23">
        <v>10</v>
      </c>
    </row>
    <row r="572" spans="1:8" x14ac:dyDescent="0.3">
      <c r="A572" s="23" t="s">
        <v>1631</v>
      </c>
      <c r="B572" s="23" t="s">
        <v>1632</v>
      </c>
      <c r="C572" s="26" t="s">
        <v>1633</v>
      </c>
      <c r="D572" s="23" t="s">
        <v>1501</v>
      </c>
      <c r="E572" s="23" t="s">
        <v>203</v>
      </c>
      <c r="F572" s="26">
        <v>351272.42857142899</v>
      </c>
      <c r="G572" s="23" t="s">
        <v>115</v>
      </c>
      <c r="H572" s="23">
        <v>10</v>
      </c>
    </row>
    <row r="573" spans="1:8" x14ac:dyDescent="0.3">
      <c r="A573" s="23" t="s">
        <v>1634</v>
      </c>
      <c r="B573" s="23" t="s">
        <v>1635</v>
      </c>
      <c r="C573" s="26" t="s">
        <v>1636</v>
      </c>
      <c r="D573" s="23" t="s">
        <v>1504</v>
      </c>
      <c r="E573" s="23" t="s">
        <v>208</v>
      </c>
      <c r="F573" s="26">
        <v>359342.28571428597</v>
      </c>
      <c r="G573" s="23" t="s">
        <v>57</v>
      </c>
      <c r="H573" s="23">
        <v>10</v>
      </c>
    </row>
    <row r="574" spans="1:8" x14ac:dyDescent="0.3">
      <c r="A574" s="23" t="s">
        <v>1637</v>
      </c>
      <c r="B574" s="23" t="s">
        <v>1638</v>
      </c>
      <c r="C574" s="29">
        <v>652217561</v>
      </c>
      <c r="D574" s="23" t="s">
        <v>211</v>
      </c>
      <c r="E574" s="23" t="s">
        <v>188</v>
      </c>
      <c r="F574" s="26">
        <v>367412.14285714302</v>
      </c>
      <c r="G574" s="23" t="s">
        <v>188</v>
      </c>
      <c r="H574" s="23">
        <v>10</v>
      </c>
    </row>
    <row r="575" spans="1:8" x14ac:dyDescent="0.3">
      <c r="A575" s="23" t="s">
        <v>1639</v>
      </c>
      <c r="B575" s="23" t="s">
        <v>1640</v>
      </c>
      <c r="C575" s="26" t="s">
        <v>1641</v>
      </c>
      <c r="D575" s="23" t="s">
        <v>215</v>
      </c>
      <c r="E575" s="23" t="s">
        <v>216</v>
      </c>
      <c r="F575" s="26">
        <v>375482</v>
      </c>
      <c r="G575" s="23" t="s">
        <v>30</v>
      </c>
      <c r="H575" s="23">
        <v>10</v>
      </c>
    </row>
    <row r="576" spans="1:8" x14ac:dyDescent="0.3">
      <c r="A576" s="23" t="s">
        <v>1642</v>
      </c>
      <c r="B576" s="23" t="s">
        <v>1643</v>
      </c>
      <c r="C576" s="26" t="s">
        <v>1644</v>
      </c>
      <c r="D576" s="23" t="s">
        <v>1511</v>
      </c>
      <c r="E576" s="23" t="s">
        <v>221</v>
      </c>
      <c r="F576" s="26">
        <v>383551.85714285797</v>
      </c>
      <c r="G576" s="23" t="s">
        <v>30</v>
      </c>
      <c r="H576" s="23">
        <v>30</v>
      </c>
    </row>
    <row r="577" spans="1:8" x14ac:dyDescent="0.3">
      <c r="A577" s="23" t="s">
        <v>1645</v>
      </c>
      <c r="B577" s="23" t="s">
        <v>1646</v>
      </c>
      <c r="C577" s="26">
        <v>313692000000</v>
      </c>
      <c r="D577" s="23" t="s">
        <v>28</v>
      </c>
      <c r="E577" s="23" t="s">
        <v>29</v>
      </c>
      <c r="F577" s="26">
        <v>391621.71428571502</v>
      </c>
      <c r="G577" s="23" t="s">
        <v>30</v>
      </c>
      <c r="H577" s="23">
        <v>20</v>
      </c>
    </row>
    <row r="578" spans="1:8" x14ac:dyDescent="0.3">
      <c r="A578" s="23" t="s">
        <v>1647</v>
      </c>
      <c r="B578" s="23" t="s">
        <v>1648</v>
      </c>
      <c r="C578" s="26">
        <v>314729220000</v>
      </c>
      <c r="D578" s="23" t="s">
        <v>1516</v>
      </c>
      <c r="E578" s="23" t="s">
        <v>34</v>
      </c>
      <c r="F578" s="26">
        <v>399691.571428572</v>
      </c>
      <c r="G578" s="23" t="s">
        <v>35</v>
      </c>
      <c r="H578" s="23">
        <v>10</v>
      </c>
    </row>
    <row r="579" spans="1:8" x14ac:dyDescent="0.3">
      <c r="A579" s="23" t="s">
        <v>1649</v>
      </c>
      <c r="B579" s="23" t="s">
        <v>1650</v>
      </c>
      <c r="C579" s="26">
        <v>315766440000</v>
      </c>
      <c r="D579" s="23" t="s">
        <v>39</v>
      </c>
      <c r="E579" s="23" t="s">
        <v>40</v>
      </c>
      <c r="F579" s="26" t="s">
        <v>41</v>
      </c>
      <c r="G579" s="23" t="s">
        <v>42</v>
      </c>
      <c r="H579" s="23">
        <v>20</v>
      </c>
    </row>
    <row r="580" spans="1:8" x14ac:dyDescent="0.3">
      <c r="A580" s="23" t="s">
        <v>1651</v>
      </c>
      <c r="B580" s="23" t="s">
        <v>1652</v>
      </c>
      <c r="C580" s="26">
        <v>316803660000</v>
      </c>
      <c r="D580" s="23" t="s">
        <v>1521</v>
      </c>
      <c r="E580" s="23" t="s">
        <v>47</v>
      </c>
      <c r="F580" s="26">
        <v>-230262.33333333299</v>
      </c>
      <c r="G580" s="23" t="s">
        <v>48</v>
      </c>
      <c r="H580" s="23">
        <v>20</v>
      </c>
    </row>
    <row r="581" spans="1:8" x14ac:dyDescent="0.3">
      <c r="A581" s="23" t="s">
        <v>1653</v>
      </c>
      <c r="B581" s="23" t="s">
        <v>1654</v>
      </c>
      <c r="C581" s="26">
        <v>317840880000</v>
      </c>
      <c r="D581" s="23" t="s">
        <v>1524</v>
      </c>
      <c r="E581" s="23" t="s">
        <v>52</v>
      </c>
      <c r="F581" s="26">
        <v>-243249.33333333299</v>
      </c>
      <c r="G581" s="23" t="s">
        <v>35</v>
      </c>
      <c r="H581" s="23">
        <v>10</v>
      </c>
    </row>
    <row r="582" spans="1:8" x14ac:dyDescent="0.3">
      <c r="A582" s="23" t="s">
        <v>1655</v>
      </c>
      <c r="B582" s="23" t="s">
        <v>1656</v>
      </c>
      <c r="C582" s="26">
        <v>318878100000</v>
      </c>
      <c r="D582" s="23" t="s">
        <v>1527</v>
      </c>
      <c r="E582" s="23" t="s">
        <v>56</v>
      </c>
      <c r="F582" s="26">
        <v>-256236.33333333299</v>
      </c>
      <c r="G582" s="23" t="s">
        <v>57</v>
      </c>
      <c r="H582" s="23">
        <v>10</v>
      </c>
    </row>
    <row r="583" spans="1:8" x14ac:dyDescent="0.3">
      <c r="A583" s="23" t="s">
        <v>1657</v>
      </c>
      <c r="B583" s="23" t="s">
        <v>1658</v>
      </c>
      <c r="C583" s="26">
        <v>319915320000</v>
      </c>
      <c r="D583" s="23" t="s">
        <v>1530</v>
      </c>
      <c r="E583" s="23" t="s">
        <v>62</v>
      </c>
      <c r="F583" s="26" t="s">
        <v>1531</v>
      </c>
      <c r="G583" s="23" t="s">
        <v>64</v>
      </c>
      <c r="H583" s="23">
        <v>20</v>
      </c>
    </row>
    <row r="584" spans="1:8" x14ac:dyDescent="0.3">
      <c r="A584" s="23" t="s">
        <v>1659</v>
      </c>
      <c r="B584" s="23" t="s">
        <v>1660</v>
      </c>
      <c r="C584" s="26">
        <v>320952540000</v>
      </c>
      <c r="D584" s="23" t="s">
        <v>1534</v>
      </c>
      <c r="E584" s="23" t="s">
        <v>69</v>
      </c>
      <c r="F584" s="26">
        <v>332680.07142857002</v>
      </c>
      <c r="G584" s="23" t="s">
        <v>57</v>
      </c>
      <c r="H584" s="23">
        <v>10</v>
      </c>
    </row>
    <row r="585" spans="1:8" x14ac:dyDescent="0.3">
      <c r="A585" s="23" t="s">
        <v>1661</v>
      </c>
      <c r="B585" s="23" t="s">
        <v>1662</v>
      </c>
      <c r="C585" s="26">
        <v>321989760000</v>
      </c>
      <c r="D585" s="23" t="s">
        <v>73</v>
      </c>
      <c r="E585" s="23" t="s">
        <v>74</v>
      </c>
      <c r="F585" s="26">
        <v>338408.607142856</v>
      </c>
      <c r="G585" s="23" t="s">
        <v>30</v>
      </c>
      <c r="H585" s="23">
        <v>20</v>
      </c>
    </row>
    <row r="586" spans="1:8" x14ac:dyDescent="0.3">
      <c r="A586" s="23" t="s">
        <v>1663</v>
      </c>
      <c r="B586" s="23" t="s">
        <v>1664</v>
      </c>
      <c r="C586" s="26">
        <v>323026980000</v>
      </c>
      <c r="D586" s="23" t="s">
        <v>1539</v>
      </c>
      <c r="E586" s="23" t="s">
        <v>78</v>
      </c>
      <c r="F586" s="26">
        <v>344137.14285714203</v>
      </c>
      <c r="G586" s="23" t="s">
        <v>35</v>
      </c>
      <c r="H586" s="23">
        <v>20</v>
      </c>
    </row>
    <row r="587" spans="1:8" x14ac:dyDescent="0.3">
      <c r="A587" s="23" t="s">
        <v>1665</v>
      </c>
      <c r="B587" s="23" t="s">
        <v>1666</v>
      </c>
      <c r="C587" s="26">
        <v>324064200000</v>
      </c>
      <c r="D587" s="23" t="s">
        <v>1542</v>
      </c>
      <c r="E587" s="23" t="s">
        <v>83</v>
      </c>
      <c r="F587" s="26">
        <v>349865.67857142701</v>
      </c>
      <c r="G587" s="23" t="s">
        <v>84</v>
      </c>
      <c r="H587" s="23">
        <v>10</v>
      </c>
    </row>
    <row r="588" spans="1:8" x14ac:dyDescent="0.3">
      <c r="A588" s="23" t="s">
        <v>1667</v>
      </c>
      <c r="B588" s="23" t="s">
        <v>1668</v>
      </c>
      <c r="C588" s="26">
        <v>325101420000</v>
      </c>
      <c r="D588" s="23" t="s">
        <v>1669</v>
      </c>
      <c r="E588" s="23" t="s">
        <v>74</v>
      </c>
      <c r="F588" s="26">
        <v>355594.21428571298</v>
      </c>
      <c r="G588" s="23" t="s">
        <v>30</v>
      </c>
      <c r="H588" s="23">
        <v>10</v>
      </c>
    </row>
    <row r="589" spans="1:8" x14ac:dyDescent="0.3">
      <c r="A589" s="23" t="s">
        <v>1670</v>
      </c>
      <c r="B589" s="23" t="s">
        <v>1671</v>
      </c>
      <c r="C589" s="26">
        <v>326138640000</v>
      </c>
      <c r="D589" s="23" t="s">
        <v>1672</v>
      </c>
      <c r="E589" s="23" t="s">
        <v>92</v>
      </c>
      <c r="F589" s="26">
        <v>361322.74999999901</v>
      </c>
      <c r="G589" s="23" t="s">
        <v>35</v>
      </c>
      <c r="H589" s="23">
        <v>10</v>
      </c>
    </row>
    <row r="590" spans="1:8" x14ac:dyDescent="0.3">
      <c r="A590" s="23" t="s">
        <v>1673</v>
      </c>
      <c r="B590" s="23" t="s">
        <v>1674</v>
      </c>
      <c r="C590" s="26">
        <v>327175860000</v>
      </c>
      <c r="D590" s="23" t="s">
        <v>1675</v>
      </c>
      <c r="E590" s="23" t="s">
        <v>96</v>
      </c>
      <c r="F590" s="26">
        <v>367051.28571428399</v>
      </c>
      <c r="G590" s="23" t="s">
        <v>35</v>
      </c>
      <c r="H590" s="23">
        <v>20</v>
      </c>
    </row>
    <row r="591" spans="1:8" x14ac:dyDescent="0.3">
      <c r="A591" s="23" t="s">
        <v>1676</v>
      </c>
      <c r="B591" s="23" t="s">
        <v>1677</v>
      </c>
      <c r="C591" s="26">
        <v>328213080000</v>
      </c>
      <c r="D591" s="23" t="s">
        <v>100</v>
      </c>
      <c r="E591" s="23" t="s">
        <v>101</v>
      </c>
      <c r="F591" s="26" t="s">
        <v>1678</v>
      </c>
      <c r="G591" s="23" t="s">
        <v>84</v>
      </c>
      <c r="H591" s="23">
        <v>10</v>
      </c>
    </row>
    <row r="592" spans="1:8" x14ac:dyDescent="0.3">
      <c r="A592" s="23" t="s">
        <v>1679</v>
      </c>
      <c r="B592" s="23" t="s">
        <v>1680</v>
      </c>
      <c r="C592" s="26">
        <v>329250300000</v>
      </c>
      <c r="D592" s="23" t="s">
        <v>1681</v>
      </c>
      <c r="E592" s="23" t="s">
        <v>107</v>
      </c>
      <c r="F592" s="26" t="s">
        <v>1682</v>
      </c>
      <c r="G592" s="23" t="s">
        <v>109</v>
      </c>
      <c r="H592" s="23">
        <v>20</v>
      </c>
    </row>
    <row r="593" spans="1:8" x14ac:dyDescent="0.3">
      <c r="A593" s="23" t="s">
        <v>1683</v>
      </c>
      <c r="B593" s="23" t="s">
        <v>1684</v>
      </c>
      <c r="C593" s="26">
        <v>330287520000</v>
      </c>
      <c r="D593" s="23" t="s">
        <v>1685</v>
      </c>
      <c r="E593" s="23" t="s">
        <v>114</v>
      </c>
      <c r="F593" s="26">
        <v>992134.66666666698</v>
      </c>
      <c r="G593" s="23" t="s">
        <v>115</v>
      </c>
      <c r="H593" s="23">
        <v>10</v>
      </c>
    </row>
    <row r="594" spans="1:8" x14ac:dyDescent="0.3">
      <c r="A594" s="23" t="s">
        <v>1686</v>
      </c>
      <c r="B594" s="23" t="s">
        <v>1687</v>
      </c>
      <c r="C594" s="26">
        <v>331324740000</v>
      </c>
      <c r="D594" s="23" t="s">
        <v>1688</v>
      </c>
      <c r="E594" s="23" t="s">
        <v>119</v>
      </c>
      <c r="F594" s="26">
        <v>1038405.66666667</v>
      </c>
      <c r="G594" s="23" t="s">
        <v>35</v>
      </c>
      <c r="H594" s="23">
        <v>10</v>
      </c>
    </row>
    <row r="595" spans="1:8" x14ac:dyDescent="0.3">
      <c r="A595" s="23" t="s">
        <v>1689</v>
      </c>
      <c r="B595" s="23" t="s">
        <v>1690</v>
      </c>
      <c r="C595" s="26">
        <v>332361960000</v>
      </c>
      <c r="D595" s="23" t="s">
        <v>1691</v>
      </c>
      <c r="E595" s="23" t="s">
        <v>123</v>
      </c>
      <c r="F595" s="26">
        <v>1084676.66666667</v>
      </c>
      <c r="G595" s="23" t="s">
        <v>35</v>
      </c>
      <c r="H595" s="23">
        <v>10</v>
      </c>
    </row>
    <row r="596" spans="1:8" x14ac:dyDescent="0.3">
      <c r="A596" s="23" t="s">
        <v>1692</v>
      </c>
      <c r="B596" s="23" t="s">
        <v>1693</v>
      </c>
      <c r="C596" s="26">
        <v>333399180000</v>
      </c>
      <c r="D596" s="23" t="s">
        <v>127</v>
      </c>
      <c r="E596" s="23" t="s">
        <v>128</v>
      </c>
      <c r="F596" s="26" t="s">
        <v>1694</v>
      </c>
      <c r="G596" s="23" t="s">
        <v>130</v>
      </c>
      <c r="H596" s="23">
        <v>20</v>
      </c>
    </row>
    <row r="597" spans="1:8" x14ac:dyDescent="0.3">
      <c r="A597" s="23" t="s">
        <v>1695</v>
      </c>
      <c r="B597" s="23" t="s">
        <v>1696</v>
      </c>
      <c r="C597" s="26">
        <v>334436400000</v>
      </c>
      <c r="D597" s="23" t="s">
        <v>1697</v>
      </c>
      <c r="E597" s="23" t="s">
        <v>134</v>
      </c>
      <c r="F597" s="26">
        <v>-173854.569696969</v>
      </c>
      <c r="G597" s="23" t="s">
        <v>35</v>
      </c>
      <c r="H597" s="23">
        <v>20</v>
      </c>
    </row>
    <row r="598" spans="1:8" x14ac:dyDescent="0.3">
      <c r="A598" s="23" t="s">
        <v>1698</v>
      </c>
      <c r="B598" s="23" t="s">
        <v>1699</v>
      </c>
      <c r="C598" s="26">
        <v>335473620000</v>
      </c>
      <c r="D598" s="23" t="s">
        <v>1700</v>
      </c>
      <c r="E598" s="23" t="s">
        <v>139</v>
      </c>
      <c r="F598" s="26">
        <v>-177254.83030303</v>
      </c>
      <c r="G598" s="23" t="s">
        <v>84</v>
      </c>
      <c r="H598" s="23">
        <v>10</v>
      </c>
    </row>
    <row r="599" spans="1:8" x14ac:dyDescent="0.3">
      <c r="A599" s="23" t="s">
        <v>1701</v>
      </c>
      <c r="B599" s="23" t="s">
        <v>1702</v>
      </c>
      <c r="C599" s="26">
        <v>336510840000</v>
      </c>
      <c r="D599" s="23" t="s">
        <v>143</v>
      </c>
      <c r="E599" s="23" t="s">
        <v>144</v>
      </c>
      <c r="F599" s="26">
        <v>-180655.09090909001</v>
      </c>
      <c r="G599" s="23" t="s">
        <v>30</v>
      </c>
      <c r="H599" s="23">
        <v>10</v>
      </c>
    </row>
    <row r="600" spans="1:8" x14ac:dyDescent="0.3">
      <c r="A600" s="23" t="s">
        <v>1703</v>
      </c>
      <c r="B600" s="23" t="s">
        <v>1704</v>
      </c>
      <c r="C600" s="26">
        <v>337548060000</v>
      </c>
      <c r="D600" s="23" t="s">
        <v>1705</v>
      </c>
      <c r="E600" s="23" t="s">
        <v>34</v>
      </c>
      <c r="F600" s="26">
        <v>-184055.35151515101</v>
      </c>
      <c r="G600" s="23" t="s">
        <v>35</v>
      </c>
      <c r="H600" s="23">
        <v>30</v>
      </c>
    </row>
    <row r="601" spans="1:8" x14ac:dyDescent="0.3">
      <c r="A601" s="23" t="s">
        <v>1706</v>
      </c>
      <c r="B601" s="23" t="s">
        <v>1707</v>
      </c>
      <c r="C601" s="26">
        <v>338585280000</v>
      </c>
      <c r="D601" s="23" t="s">
        <v>1708</v>
      </c>
      <c r="E601" s="23" t="s">
        <v>152</v>
      </c>
      <c r="F601" s="26">
        <v>-187455.61212121099</v>
      </c>
      <c r="G601" s="23" t="s">
        <v>153</v>
      </c>
      <c r="H601" s="23">
        <v>10</v>
      </c>
    </row>
    <row r="602" spans="1:8" x14ac:dyDescent="0.3">
      <c r="A602" s="23" t="s">
        <v>1709</v>
      </c>
      <c r="B602" s="23" t="s">
        <v>1710</v>
      </c>
      <c r="C602" s="26">
        <v>339622500000</v>
      </c>
      <c r="D602" s="23" t="s">
        <v>1711</v>
      </c>
      <c r="E602" s="23" t="s">
        <v>157</v>
      </c>
      <c r="F602" s="26">
        <v>-190855.87272727201</v>
      </c>
      <c r="G602" s="23" t="s">
        <v>35</v>
      </c>
      <c r="H602" s="23">
        <v>10</v>
      </c>
    </row>
    <row r="603" spans="1:8" x14ac:dyDescent="0.3">
      <c r="A603" s="23" t="s">
        <v>1712</v>
      </c>
      <c r="B603" s="23" t="s">
        <v>1713</v>
      </c>
      <c r="C603" s="26">
        <v>340659720000</v>
      </c>
      <c r="D603" s="23" t="s">
        <v>160</v>
      </c>
      <c r="E603" s="23" t="s">
        <v>161</v>
      </c>
      <c r="F603" s="26">
        <v>-194256.13333333301</v>
      </c>
      <c r="G603" s="23" t="s">
        <v>35</v>
      </c>
      <c r="H603" s="23">
        <v>20</v>
      </c>
    </row>
    <row r="604" spans="1:8" x14ac:dyDescent="0.3">
      <c r="A604" s="23" t="s">
        <v>1714</v>
      </c>
      <c r="B604" s="23" t="s">
        <v>1715</v>
      </c>
      <c r="C604" s="26">
        <v>341696940000</v>
      </c>
      <c r="D604" s="23" t="s">
        <v>1716</v>
      </c>
      <c r="E604" s="23" t="s">
        <v>166</v>
      </c>
      <c r="F604" s="26">
        <v>-197656.39393939299</v>
      </c>
      <c r="G604" s="23" t="s">
        <v>30</v>
      </c>
      <c r="H604" s="23">
        <v>10</v>
      </c>
    </row>
    <row r="605" spans="1:8" x14ac:dyDescent="0.3">
      <c r="A605" s="23" t="s">
        <v>1717</v>
      </c>
      <c r="B605" s="23" t="s">
        <v>1718</v>
      </c>
      <c r="C605" s="26">
        <v>342734160000</v>
      </c>
      <c r="D605" s="23" t="s">
        <v>1719</v>
      </c>
      <c r="E605" s="23" t="s">
        <v>171</v>
      </c>
      <c r="F605" s="26">
        <v>-201056.65454545399</v>
      </c>
      <c r="G605" s="23" t="s">
        <v>172</v>
      </c>
      <c r="H605" s="23">
        <v>20</v>
      </c>
    </row>
    <row r="606" spans="1:8" x14ac:dyDescent="0.3">
      <c r="A606" s="23" t="s">
        <v>1720</v>
      </c>
      <c r="B606" s="23" t="s">
        <v>1721</v>
      </c>
      <c r="C606" s="26">
        <v>343771380000</v>
      </c>
      <c r="D606" s="23" t="s">
        <v>176</v>
      </c>
      <c r="E606" s="23" t="s">
        <v>177</v>
      </c>
      <c r="F606" s="26">
        <v>-204456.915151514</v>
      </c>
      <c r="G606" s="23" t="s">
        <v>57</v>
      </c>
      <c r="H606" s="23">
        <v>10</v>
      </c>
    </row>
    <row r="607" spans="1:8" x14ac:dyDescent="0.3">
      <c r="A607" s="23" t="s">
        <v>1722</v>
      </c>
      <c r="B607" s="23" t="s">
        <v>1723</v>
      </c>
      <c r="C607" s="26">
        <v>344808600000</v>
      </c>
      <c r="D607" s="23" t="s">
        <v>1724</v>
      </c>
      <c r="E607" s="23" t="s">
        <v>182</v>
      </c>
      <c r="F607" s="26" t="s">
        <v>1725</v>
      </c>
      <c r="G607" s="23" t="s">
        <v>184</v>
      </c>
      <c r="H607" s="23">
        <v>10</v>
      </c>
    </row>
    <row r="608" spans="1:8" x14ac:dyDescent="0.3">
      <c r="A608" s="23" t="s">
        <v>1726</v>
      </c>
      <c r="B608" s="23" t="s">
        <v>1727</v>
      </c>
      <c r="C608" s="26">
        <v>345845820000</v>
      </c>
      <c r="D608" s="23" t="s">
        <v>187</v>
      </c>
      <c r="E608" s="23" t="s">
        <v>188</v>
      </c>
      <c r="F608" s="26">
        <v>418681</v>
      </c>
      <c r="G608" s="23" t="s">
        <v>188</v>
      </c>
      <c r="H608" s="23">
        <v>20</v>
      </c>
    </row>
    <row r="609" spans="1:8" x14ac:dyDescent="0.3">
      <c r="A609" s="23" t="s">
        <v>1728</v>
      </c>
      <c r="B609" s="23" t="s">
        <v>1729</v>
      </c>
      <c r="C609" s="26">
        <v>346883040000</v>
      </c>
      <c r="D609" s="23" t="s">
        <v>1730</v>
      </c>
      <c r="E609" s="23" t="s">
        <v>192</v>
      </c>
      <c r="F609" s="26">
        <v>443655</v>
      </c>
      <c r="G609" s="23" t="s">
        <v>35</v>
      </c>
      <c r="H609" s="23">
        <v>30</v>
      </c>
    </row>
    <row r="610" spans="1:8" x14ac:dyDescent="0.3">
      <c r="A610" s="23" t="s">
        <v>1731</v>
      </c>
      <c r="B610" s="23" t="s">
        <v>1732</v>
      </c>
      <c r="C610" s="26">
        <v>347920260000</v>
      </c>
      <c r="D610" s="23" t="s">
        <v>1733</v>
      </c>
      <c r="E610" s="23" t="s">
        <v>197</v>
      </c>
      <c r="F610" s="26" t="s">
        <v>1734</v>
      </c>
      <c r="G610" s="23" t="s">
        <v>184</v>
      </c>
      <c r="H610" s="23">
        <v>10</v>
      </c>
    </row>
    <row r="611" spans="1:8" x14ac:dyDescent="0.3">
      <c r="A611" s="23" t="s">
        <v>1735</v>
      </c>
      <c r="B611" s="23" t="s">
        <v>1736</v>
      </c>
      <c r="C611" s="26">
        <v>348957480000</v>
      </c>
      <c r="D611" s="23" t="s">
        <v>1737</v>
      </c>
      <c r="E611" s="23" t="s">
        <v>203</v>
      </c>
      <c r="F611" s="26">
        <v>271797.17857142899</v>
      </c>
      <c r="G611" s="23" t="s">
        <v>115</v>
      </c>
      <c r="H611" s="23">
        <v>20</v>
      </c>
    </row>
    <row r="612" spans="1:8" x14ac:dyDescent="0.3">
      <c r="A612" s="23" t="s">
        <v>1738</v>
      </c>
      <c r="B612" s="23" t="s">
        <v>1739</v>
      </c>
      <c r="C612" s="26">
        <v>349994700000</v>
      </c>
      <c r="D612" s="23" t="s">
        <v>1740</v>
      </c>
      <c r="E612" s="23" t="s">
        <v>208</v>
      </c>
      <c r="F612" s="26">
        <v>277221.85714285797</v>
      </c>
      <c r="G612" s="23" t="s">
        <v>57</v>
      </c>
      <c r="H612" s="23">
        <v>30</v>
      </c>
    </row>
    <row r="613" spans="1:8" x14ac:dyDescent="0.3">
      <c r="A613" s="23" t="s">
        <v>1741</v>
      </c>
      <c r="B613" s="23" t="s">
        <v>1742</v>
      </c>
      <c r="C613" s="26">
        <v>351031920000</v>
      </c>
      <c r="D613" s="23" t="s">
        <v>211</v>
      </c>
      <c r="E613" s="23" t="s">
        <v>188</v>
      </c>
      <c r="F613" s="26">
        <v>282646.53571428597</v>
      </c>
      <c r="G613" s="23" t="s">
        <v>188</v>
      </c>
      <c r="H613" s="23">
        <v>10</v>
      </c>
    </row>
    <row r="614" spans="1:8" x14ac:dyDescent="0.3">
      <c r="A614" s="23" t="s">
        <v>1743</v>
      </c>
      <c r="B614" s="23" t="s">
        <v>1744</v>
      </c>
      <c r="C614" s="26">
        <v>352069140000</v>
      </c>
      <c r="D614" s="23" t="s">
        <v>215</v>
      </c>
      <c r="E614" s="23" t="s">
        <v>216</v>
      </c>
      <c r="F614" s="26">
        <v>288071.21428571502</v>
      </c>
      <c r="G614" s="23" t="s">
        <v>30</v>
      </c>
      <c r="H614" s="23">
        <v>30</v>
      </c>
    </row>
    <row r="615" spans="1:8" x14ac:dyDescent="0.3">
      <c r="A615" s="23" t="s">
        <v>1745</v>
      </c>
      <c r="B615" s="23" t="s">
        <v>1746</v>
      </c>
      <c r="C615" s="26">
        <v>353106360000</v>
      </c>
      <c r="D615" s="23" t="s">
        <v>1747</v>
      </c>
      <c r="E615" s="23" t="s">
        <v>221</v>
      </c>
      <c r="F615" s="26">
        <v>293495.89285714302</v>
      </c>
      <c r="G615" s="23" t="s">
        <v>30</v>
      </c>
      <c r="H615" s="23">
        <v>20</v>
      </c>
    </row>
    <row r="616" spans="1:8" x14ac:dyDescent="0.3">
      <c r="A616" s="23" t="s">
        <v>1748</v>
      </c>
      <c r="B616" s="23" t="s">
        <v>1749</v>
      </c>
      <c r="C616" s="26">
        <v>354143580000</v>
      </c>
      <c r="D616" s="23" t="s">
        <v>28</v>
      </c>
      <c r="E616" s="23" t="s">
        <v>29</v>
      </c>
      <c r="F616" s="26">
        <v>298920.571428572</v>
      </c>
      <c r="G616" s="23" t="s">
        <v>30</v>
      </c>
      <c r="H616" s="23">
        <v>20</v>
      </c>
    </row>
    <row r="617" spans="1:8" x14ac:dyDescent="0.3">
      <c r="A617" s="23" t="s">
        <v>1750</v>
      </c>
      <c r="B617" s="23" t="s">
        <v>1751</v>
      </c>
      <c r="C617" s="26">
        <v>355180800000</v>
      </c>
      <c r="D617" s="23" t="s">
        <v>1752</v>
      </c>
      <c r="E617" s="23" t="s">
        <v>34</v>
      </c>
      <c r="F617" s="26">
        <v>304345.25</v>
      </c>
      <c r="G617" s="23" t="s">
        <v>35</v>
      </c>
      <c r="H617" s="23">
        <v>20</v>
      </c>
    </row>
    <row r="618" spans="1:8" x14ac:dyDescent="0.3">
      <c r="A618" s="23" t="s">
        <v>1753</v>
      </c>
      <c r="B618" s="23" t="s">
        <v>1754</v>
      </c>
      <c r="C618" s="26">
        <v>356218020000</v>
      </c>
      <c r="D618" s="23" t="s">
        <v>39</v>
      </c>
      <c r="E618" s="23" t="s">
        <v>40</v>
      </c>
      <c r="F618" s="26" t="s">
        <v>41</v>
      </c>
      <c r="G618" s="23" t="s">
        <v>42</v>
      </c>
      <c r="H618" s="23">
        <v>10</v>
      </c>
    </row>
    <row r="619" spans="1:8" x14ac:dyDescent="0.3">
      <c r="A619" s="23" t="s">
        <v>1755</v>
      </c>
      <c r="B619" s="23" t="s">
        <v>1756</v>
      </c>
      <c r="C619" s="26">
        <v>357255240000</v>
      </c>
      <c r="D619" s="23" t="s">
        <v>1757</v>
      </c>
      <c r="E619" s="23" t="s">
        <v>47</v>
      </c>
      <c r="F619" s="26">
        <v>-269223.33333333302</v>
      </c>
      <c r="G619" s="23" t="s">
        <v>48</v>
      </c>
      <c r="H619" s="23">
        <v>10</v>
      </c>
    </row>
    <row r="620" spans="1:8" x14ac:dyDescent="0.3">
      <c r="A620" s="23" t="s">
        <v>1758</v>
      </c>
      <c r="B620" s="23" t="s">
        <v>1759</v>
      </c>
      <c r="C620" s="26">
        <v>358292460000</v>
      </c>
      <c r="D620" s="23" t="s">
        <v>1760</v>
      </c>
      <c r="E620" s="23" t="s">
        <v>52</v>
      </c>
      <c r="F620" s="26">
        <v>-282210.33333333302</v>
      </c>
      <c r="G620" s="23" t="s">
        <v>35</v>
      </c>
      <c r="H620" s="23">
        <v>10</v>
      </c>
    </row>
    <row r="621" spans="1:8" x14ac:dyDescent="0.3">
      <c r="A621" s="23" t="s">
        <v>1761</v>
      </c>
      <c r="B621" s="23" t="s">
        <v>1762</v>
      </c>
      <c r="C621" s="26">
        <v>359329680000</v>
      </c>
      <c r="D621" s="23" t="s">
        <v>1763</v>
      </c>
      <c r="E621" s="23" t="s">
        <v>56</v>
      </c>
      <c r="F621" s="26">
        <v>-295197.33333333302</v>
      </c>
      <c r="G621" s="23" t="s">
        <v>57</v>
      </c>
      <c r="H621" s="23">
        <v>20</v>
      </c>
    </row>
    <row r="622" spans="1:8" x14ac:dyDescent="0.3">
      <c r="A622" s="23" t="s">
        <v>1764</v>
      </c>
      <c r="B622" s="23" t="s">
        <v>1765</v>
      </c>
      <c r="C622" s="26">
        <v>360366900000</v>
      </c>
      <c r="D622" s="23" t="s">
        <v>1766</v>
      </c>
      <c r="E622" s="23" t="s">
        <v>62</v>
      </c>
      <c r="F622" s="26" t="s">
        <v>1767</v>
      </c>
      <c r="G622" s="23" t="s">
        <v>64</v>
      </c>
      <c r="H622" s="23">
        <v>10</v>
      </c>
    </row>
    <row r="623" spans="1:8" x14ac:dyDescent="0.3">
      <c r="A623" s="23" t="s">
        <v>1768</v>
      </c>
      <c r="B623" s="23" t="s">
        <v>1769</v>
      </c>
      <c r="C623" s="26">
        <v>361404120000</v>
      </c>
      <c r="D623" s="23" t="s">
        <v>1770</v>
      </c>
      <c r="E623" s="23" t="s">
        <v>69</v>
      </c>
      <c r="F623" s="26">
        <v>269666.17857143498</v>
      </c>
      <c r="G623" s="23" t="s">
        <v>57</v>
      </c>
      <c r="H623" s="23">
        <v>10</v>
      </c>
    </row>
    <row r="624" spans="1:8" x14ac:dyDescent="0.3">
      <c r="A624" s="23" t="s">
        <v>1771</v>
      </c>
      <c r="B624" s="23" t="s">
        <v>1772</v>
      </c>
      <c r="C624" s="26">
        <v>362441340000</v>
      </c>
      <c r="D624" s="23" t="s">
        <v>73</v>
      </c>
      <c r="E624" s="23" t="s">
        <v>74</v>
      </c>
      <c r="F624" s="26">
        <v>275394.71428572101</v>
      </c>
      <c r="G624" s="23" t="s">
        <v>30</v>
      </c>
      <c r="H624" s="23">
        <v>10</v>
      </c>
    </row>
    <row r="625" spans="1:8" x14ac:dyDescent="0.3">
      <c r="A625" s="23" t="s">
        <v>1773</v>
      </c>
      <c r="B625" s="23" t="s">
        <v>1774</v>
      </c>
      <c r="C625" s="26">
        <v>363478560000</v>
      </c>
      <c r="D625" s="23" t="s">
        <v>1775</v>
      </c>
      <c r="E625" s="23" t="s">
        <v>78</v>
      </c>
      <c r="F625" s="26">
        <v>281123.25000000698</v>
      </c>
      <c r="G625" s="23" t="s">
        <v>35</v>
      </c>
      <c r="H625" s="23">
        <v>10</v>
      </c>
    </row>
    <row r="626" spans="1:8" x14ac:dyDescent="0.3">
      <c r="A626" s="23" t="s">
        <v>1776</v>
      </c>
      <c r="B626" s="23" t="s">
        <v>1777</v>
      </c>
      <c r="C626" s="26">
        <v>364515780000</v>
      </c>
      <c r="D626" s="23" t="s">
        <v>1778</v>
      </c>
      <c r="E626" s="23" t="s">
        <v>83</v>
      </c>
      <c r="F626" s="26">
        <v>286851.78571429302</v>
      </c>
      <c r="G626" s="23" t="s">
        <v>84</v>
      </c>
      <c r="H626" s="23">
        <v>20</v>
      </c>
    </row>
    <row r="627" spans="1:8" x14ac:dyDescent="0.3">
      <c r="A627" s="23" t="s">
        <v>1779</v>
      </c>
      <c r="B627" s="23" t="s">
        <v>1780</v>
      </c>
      <c r="C627" s="26" t="s">
        <v>1781</v>
      </c>
      <c r="D627" s="23" t="s">
        <v>28</v>
      </c>
      <c r="E627" s="23" t="s">
        <v>29</v>
      </c>
      <c r="F627" s="26">
        <v>135742</v>
      </c>
      <c r="G627" s="23" t="s">
        <v>30</v>
      </c>
      <c r="H627" s="23">
        <v>10</v>
      </c>
    </row>
    <row r="628" spans="1:8" x14ac:dyDescent="0.3">
      <c r="A628" s="23" t="s">
        <v>1782</v>
      </c>
      <c r="B628" s="23" t="s">
        <v>1783</v>
      </c>
      <c r="C628" s="26">
        <v>5085552562</v>
      </c>
      <c r="D628" s="23" t="s">
        <v>1516</v>
      </c>
      <c r="E628" s="23" t="s">
        <v>34</v>
      </c>
      <c r="F628" s="26">
        <v>142295</v>
      </c>
      <c r="G628" s="23" t="s">
        <v>35</v>
      </c>
      <c r="H628" s="23">
        <v>20</v>
      </c>
    </row>
    <row r="629" spans="1:8" x14ac:dyDescent="0.3">
      <c r="A629" s="23" t="s">
        <v>1784</v>
      </c>
      <c r="B629" s="23" t="s">
        <v>1785</v>
      </c>
      <c r="C629" s="26" t="s">
        <v>1786</v>
      </c>
      <c r="D629" s="23" t="s">
        <v>39</v>
      </c>
      <c r="E629" s="23" t="s">
        <v>40</v>
      </c>
      <c r="F629" s="26" t="s">
        <v>41</v>
      </c>
      <c r="G629" s="23" t="s">
        <v>42</v>
      </c>
      <c r="H629" s="23">
        <v>30</v>
      </c>
    </row>
    <row r="630" spans="1:8" x14ac:dyDescent="0.3">
      <c r="A630" s="23" t="s">
        <v>1787</v>
      </c>
      <c r="B630" s="23" t="s">
        <v>1788</v>
      </c>
      <c r="C630" s="26" t="s">
        <v>1789</v>
      </c>
      <c r="D630" s="23" t="s">
        <v>1521</v>
      </c>
      <c r="E630" s="23" t="s">
        <v>47</v>
      </c>
      <c r="F630" s="26">
        <v>-230262.33333333299</v>
      </c>
      <c r="G630" s="23" t="s">
        <v>48</v>
      </c>
      <c r="H630" s="23">
        <v>10</v>
      </c>
    </row>
    <row r="631" spans="1:8" x14ac:dyDescent="0.3">
      <c r="A631" s="23" t="s">
        <v>1790</v>
      </c>
      <c r="B631" s="23" t="s">
        <v>1791</v>
      </c>
      <c r="C631" s="26">
        <v>-76091101445</v>
      </c>
      <c r="D631" s="23" t="s">
        <v>1524</v>
      </c>
      <c r="E631" s="23" t="s">
        <v>52</v>
      </c>
      <c r="F631" s="26">
        <v>-243249.33333333299</v>
      </c>
      <c r="G631" s="23" t="s">
        <v>35</v>
      </c>
      <c r="H631" s="23">
        <v>20</v>
      </c>
    </row>
    <row r="632" spans="1:8" x14ac:dyDescent="0.3">
      <c r="A632" s="23" t="s">
        <v>1792</v>
      </c>
      <c r="B632" s="23" t="s">
        <v>1793</v>
      </c>
      <c r="C632" s="29">
        <v>-81967291445</v>
      </c>
      <c r="D632" s="23" t="s">
        <v>1527</v>
      </c>
      <c r="E632" s="23" t="s">
        <v>56</v>
      </c>
      <c r="F632" s="26">
        <v>-256236.33333333299</v>
      </c>
      <c r="G632" s="23" t="s">
        <v>57</v>
      </c>
      <c r="H632" s="23">
        <v>10</v>
      </c>
    </row>
    <row r="633" spans="1:8" x14ac:dyDescent="0.3">
      <c r="A633" s="23" t="s">
        <v>1794</v>
      </c>
      <c r="B633" s="23" t="s">
        <v>1795</v>
      </c>
      <c r="C633" s="26" t="s">
        <v>1796</v>
      </c>
      <c r="D633" s="23" t="s">
        <v>1530</v>
      </c>
      <c r="E633" s="23" t="s">
        <v>62</v>
      </c>
      <c r="F633" s="26" t="s">
        <v>1531</v>
      </c>
      <c r="G633" s="23" t="s">
        <v>64</v>
      </c>
      <c r="H633" s="23">
        <v>10</v>
      </c>
    </row>
    <row r="634" spans="1:8" x14ac:dyDescent="0.3">
      <c r="A634" s="23" t="s">
        <v>1797</v>
      </c>
      <c r="B634" s="23" t="s">
        <v>1798</v>
      </c>
      <c r="C634" s="26" t="s">
        <v>1799</v>
      </c>
      <c r="D634" s="23" t="s">
        <v>1534</v>
      </c>
      <c r="E634" s="23" t="s">
        <v>69</v>
      </c>
      <c r="F634" s="26">
        <v>332680.07142857101</v>
      </c>
      <c r="G634" s="23" t="s">
        <v>57</v>
      </c>
      <c r="H634" s="23">
        <v>20</v>
      </c>
    </row>
    <row r="635" spans="1:8" x14ac:dyDescent="0.3">
      <c r="A635" s="23" t="s">
        <v>1800</v>
      </c>
      <c r="B635" s="23" t="s">
        <v>1801</v>
      </c>
      <c r="C635" s="26" t="s">
        <v>1802</v>
      </c>
      <c r="D635" s="23" t="s">
        <v>73</v>
      </c>
      <c r="E635" s="23" t="s">
        <v>74</v>
      </c>
      <c r="F635" s="26">
        <v>338408.60714285698</v>
      </c>
      <c r="G635" s="23" t="s">
        <v>30</v>
      </c>
      <c r="H635" s="23">
        <v>20</v>
      </c>
    </row>
    <row r="636" spans="1:8" x14ac:dyDescent="0.3">
      <c r="A636" s="23" t="s">
        <v>1803</v>
      </c>
      <c r="B636" s="23" t="s">
        <v>1804</v>
      </c>
      <c r="C636" s="26">
        <v>6505556816</v>
      </c>
      <c r="D636" s="23" t="s">
        <v>1539</v>
      </c>
      <c r="E636" s="23" t="s">
        <v>78</v>
      </c>
      <c r="F636" s="26">
        <v>344137.14285714302</v>
      </c>
      <c r="G636" s="23" t="s">
        <v>35</v>
      </c>
      <c r="H636" s="23">
        <v>20</v>
      </c>
    </row>
    <row r="637" spans="1:8" x14ac:dyDescent="0.3">
      <c r="A637" s="23" t="s">
        <v>1805</v>
      </c>
      <c r="B637" s="23" t="s">
        <v>1806</v>
      </c>
      <c r="C637" s="26" t="s">
        <v>1807</v>
      </c>
      <c r="D637" s="23" t="s">
        <v>1542</v>
      </c>
      <c r="E637" s="23" t="s">
        <v>83</v>
      </c>
      <c r="F637" s="26">
        <v>349865.678571428</v>
      </c>
      <c r="G637" s="23" t="s">
        <v>84</v>
      </c>
      <c r="H637" s="23">
        <v>20</v>
      </c>
    </row>
    <row r="638" spans="1:8" x14ac:dyDescent="0.3">
      <c r="A638" s="23" t="s">
        <v>1808</v>
      </c>
      <c r="B638" s="23" t="s">
        <v>1809</v>
      </c>
      <c r="C638" s="26" t="s">
        <v>1810</v>
      </c>
      <c r="D638" s="23" t="s">
        <v>1669</v>
      </c>
      <c r="E638" s="23" t="s">
        <v>74</v>
      </c>
      <c r="F638" s="26">
        <v>355594.21428571403</v>
      </c>
      <c r="G638" s="23" t="s">
        <v>30</v>
      </c>
      <c r="H638" s="23">
        <v>20</v>
      </c>
    </row>
    <row r="639" spans="1:8" x14ac:dyDescent="0.3">
      <c r="A639" s="23" t="s">
        <v>1811</v>
      </c>
      <c r="B639" s="23" t="s">
        <v>1812</v>
      </c>
      <c r="C639" s="26">
        <v>33345636203</v>
      </c>
      <c r="D639" s="23" t="s">
        <v>1672</v>
      </c>
      <c r="E639" s="23" t="s">
        <v>92</v>
      </c>
      <c r="F639" s="26">
        <v>361322.75</v>
      </c>
      <c r="G639" s="23" t="s">
        <v>35</v>
      </c>
      <c r="H639" s="23">
        <v>20</v>
      </c>
    </row>
    <row r="640" spans="1:8" x14ac:dyDescent="0.3">
      <c r="A640" s="23" t="s">
        <v>1813</v>
      </c>
      <c r="B640" s="23" t="s">
        <v>1814</v>
      </c>
      <c r="C640" s="26">
        <v>35435642099</v>
      </c>
      <c r="D640" s="23" t="s">
        <v>1675</v>
      </c>
      <c r="E640" s="23" t="s">
        <v>96</v>
      </c>
      <c r="F640" s="26">
        <v>367051.28571428498</v>
      </c>
      <c r="G640" s="23" t="s">
        <v>35</v>
      </c>
      <c r="H640" s="23">
        <v>20</v>
      </c>
    </row>
    <row r="641" spans="1:8" x14ac:dyDescent="0.3">
      <c r="A641" s="23" t="s">
        <v>1815</v>
      </c>
      <c r="B641" s="23" t="s">
        <v>1816</v>
      </c>
      <c r="C641" s="26" t="s">
        <v>1817</v>
      </c>
      <c r="D641" s="23" t="s">
        <v>100</v>
      </c>
      <c r="E641" s="23" t="s">
        <v>101</v>
      </c>
      <c r="F641" s="26" t="s">
        <v>1678</v>
      </c>
      <c r="G641" s="23" t="s">
        <v>84</v>
      </c>
      <c r="H641" s="23">
        <v>10</v>
      </c>
    </row>
    <row r="642" spans="1:8" x14ac:dyDescent="0.3">
      <c r="A642" s="23" t="s">
        <v>1818</v>
      </c>
      <c r="B642" s="23" t="s">
        <v>1819</v>
      </c>
      <c r="C642" s="26" t="s">
        <v>1820</v>
      </c>
      <c r="D642" s="23" t="s">
        <v>1681</v>
      </c>
      <c r="E642" s="23" t="s">
        <v>107</v>
      </c>
      <c r="F642" s="26" t="s">
        <v>1682</v>
      </c>
      <c r="G642" s="23" t="s">
        <v>109</v>
      </c>
      <c r="H642" s="23">
        <v>20</v>
      </c>
    </row>
    <row r="643" spans="1:8" x14ac:dyDescent="0.3">
      <c r="A643" s="23" t="s">
        <v>1821</v>
      </c>
      <c r="B643" s="23" t="s">
        <v>1822</v>
      </c>
      <c r="C643" s="26" t="s">
        <v>1823</v>
      </c>
      <c r="D643" s="23" t="s">
        <v>1685</v>
      </c>
      <c r="E643" s="23" t="s">
        <v>114</v>
      </c>
      <c r="F643" s="26">
        <v>992134.66666666698</v>
      </c>
      <c r="G643" s="23" t="s">
        <v>115</v>
      </c>
      <c r="H643" s="23">
        <v>10</v>
      </c>
    </row>
    <row r="644" spans="1:8" x14ac:dyDescent="0.3">
      <c r="A644" s="23" t="s">
        <v>1824</v>
      </c>
      <c r="B644" s="23" t="s">
        <v>1825</v>
      </c>
      <c r="C644" s="26">
        <v>-25524432870</v>
      </c>
      <c r="D644" s="23" t="s">
        <v>1688</v>
      </c>
      <c r="E644" s="23" t="s">
        <v>119</v>
      </c>
      <c r="F644" s="26">
        <v>1038405.66666667</v>
      </c>
      <c r="G644" s="23" t="s">
        <v>35</v>
      </c>
      <c r="H644" s="23">
        <v>20</v>
      </c>
    </row>
    <row r="645" spans="1:8" x14ac:dyDescent="0.3">
      <c r="A645" s="23" t="s">
        <v>1826</v>
      </c>
      <c r="B645" s="23" t="s">
        <v>1827</v>
      </c>
      <c r="C645" s="26">
        <v>-27644431750</v>
      </c>
      <c r="D645" s="23" t="s">
        <v>1691</v>
      </c>
      <c r="E645" s="23" t="s">
        <v>123</v>
      </c>
      <c r="F645" s="26">
        <v>1084676.66666667</v>
      </c>
      <c r="G645" s="23" t="s">
        <v>35</v>
      </c>
      <c r="H645" s="23">
        <v>30</v>
      </c>
    </row>
    <row r="646" spans="1:8" x14ac:dyDescent="0.3">
      <c r="A646" s="23" t="s">
        <v>1828</v>
      </c>
      <c r="B646" s="23" t="s">
        <v>1829</v>
      </c>
      <c r="C646" s="26" t="s">
        <v>1830</v>
      </c>
      <c r="D646" s="23" t="s">
        <v>127</v>
      </c>
      <c r="E646" s="23" t="s">
        <v>128</v>
      </c>
      <c r="F646" s="26" t="s">
        <v>1694</v>
      </c>
      <c r="G646" s="23" t="s">
        <v>130</v>
      </c>
      <c r="H646" s="23">
        <v>20</v>
      </c>
    </row>
    <row r="647" spans="1:8" x14ac:dyDescent="0.3">
      <c r="A647" s="23" t="s">
        <v>1831</v>
      </c>
      <c r="B647" s="23" t="s">
        <v>1832</v>
      </c>
      <c r="C647" s="26">
        <v>3105552380</v>
      </c>
      <c r="D647" s="23" t="s">
        <v>1697</v>
      </c>
      <c r="E647" s="23" t="s">
        <v>134</v>
      </c>
      <c r="F647" s="26">
        <v>-173854.569696969</v>
      </c>
      <c r="G647" s="23" t="s">
        <v>35</v>
      </c>
      <c r="H647" s="23">
        <v>10</v>
      </c>
    </row>
    <row r="648" spans="1:8" x14ac:dyDescent="0.3">
      <c r="A648" s="23" t="s">
        <v>1833</v>
      </c>
      <c r="B648" s="23" t="s">
        <v>1834</v>
      </c>
      <c r="C648" s="26" t="s">
        <v>1835</v>
      </c>
      <c r="D648" s="23" t="s">
        <v>1700</v>
      </c>
      <c r="E648" s="23" t="s">
        <v>139</v>
      </c>
      <c r="F648" s="26">
        <v>-177254.83030303</v>
      </c>
      <c r="G648" s="23" t="s">
        <v>84</v>
      </c>
      <c r="H648" s="23">
        <v>20</v>
      </c>
    </row>
    <row r="649" spans="1:8" x14ac:dyDescent="0.3">
      <c r="A649" s="23" t="s">
        <v>1836</v>
      </c>
      <c r="B649" s="23" t="s">
        <v>1837</v>
      </c>
      <c r="C649" s="26" t="s">
        <v>1838</v>
      </c>
      <c r="D649" s="23" t="s">
        <v>143</v>
      </c>
      <c r="E649" s="23" t="s">
        <v>144</v>
      </c>
      <c r="F649" s="26">
        <v>-180655.090909091</v>
      </c>
      <c r="G649" s="23" t="s">
        <v>30</v>
      </c>
      <c r="H649" s="23">
        <v>20</v>
      </c>
    </row>
    <row r="650" spans="1:8" x14ac:dyDescent="0.3">
      <c r="A650" s="23" t="s">
        <v>1839</v>
      </c>
      <c r="B650" s="23" t="s">
        <v>1840</v>
      </c>
      <c r="C650" s="26">
        <v>5085559562</v>
      </c>
      <c r="D650" s="23" t="s">
        <v>1705</v>
      </c>
      <c r="E650" s="23" t="s">
        <v>34</v>
      </c>
      <c r="F650" s="26">
        <v>-184055.35151515101</v>
      </c>
      <c r="G650" s="23" t="s">
        <v>35</v>
      </c>
      <c r="H650" s="23">
        <v>10</v>
      </c>
    </row>
    <row r="651" spans="1:8" x14ac:dyDescent="0.3">
      <c r="A651" s="23" t="s">
        <v>1841</v>
      </c>
      <c r="B651" s="23" t="s">
        <v>1842</v>
      </c>
      <c r="C651" s="26" t="s">
        <v>1843</v>
      </c>
      <c r="D651" s="23" t="s">
        <v>1708</v>
      </c>
      <c r="E651" s="23" t="s">
        <v>152</v>
      </c>
      <c r="F651" s="26">
        <v>-187455.61212121201</v>
      </c>
      <c r="G651" s="23" t="s">
        <v>153</v>
      </c>
      <c r="H651" s="23">
        <v>20</v>
      </c>
    </row>
    <row r="652" spans="1:8" x14ac:dyDescent="0.3">
      <c r="A652" s="23" t="s">
        <v>1844</v>
      </c>
      <c r="B652" s="23" t="s">
        <v>1845</v>
      </c>
      <c r="C652" s="26">
        <v>59695631495</v>
      </c>
      <c r="D652" s="23" t="s">
        <v>1711</v>
      </c>
      <c r="E652" s="23" t="s">
        <v>157</v>
      </c>
      <c r="F652" s="26">
        <v>-190855.87272727201</v>
      </c>
      <c r="G652" s="23" t="s">
        <v>35</v>
      </c>
      <c r="H652" s="23">
        <v>10</v>
      </c>
    </row>
    <row r="653" spans="1:8" x14ac:dyDescent="0.3">
      <c r="A653" s="23" t="s">
        <v>1846</v>
      </c>
      <c r="B653" s="23" t="s">
        <v>1847</v>
      </c>
      <c r="C653" s="26">
        <v>63805637205</v>
      </c>
      <c r="D653" s="23" t="s">
        <v>160</v>
      </c>
      <c r="E653" s="23" t="s">
        <v>161</v>
      </c>
      <c r="F653" s="26">
        <v>-194256.13333333301</v>
      </c>
      <c r="G653" s="23" t="s">
        <v>35</v>
      </c>
      <c r="H653" s="23">
        <v>10</v>
      </c>
    </row>
    <row r="654" spans="1:8" x14ac:dyDescent="0.3">
      <c r="A654" s="23" t="s">
        <v>1848</v>
      </c>
      <c r="B654" s="23" t="s">
        <v>1849</v>
      </c>
      <c r="C654" s="26" t="s">
        <v>1850</v>
      </c>
      <c r="D654" s="23" t="s">
        <v>1716</v>
      </c>
      <c r="E654" s="23" t="s">
        <v>166</v>
      </c>
      <c r="F654" s="26">
        <v>-197656.39393939401</v>
      </c>
      <c r="G654" s="23" t="s">
        <v>30</v>
      </c>
      <c r="H654" s="23">
        <v>20</v>
      </c>
    </row>
    <row r="655" spans="1:8" x14ac:dyDescent="0.3">
      <c r="A655" s="23" t="s">
        <v>1851</v>
      </c>
      <c r="B655" s="23" t="s">
        <v>1852</v>
      </c>
      <c r="C655" s="26" t="s">
        <v>1853</v>
      </c>
      <c r="D655" s="23" t="s">
        <v>1719</v>
      </c>
      <c r="E655" s="23" t="s">
        <v>171</v>
      </c>
      <c r="F655" s="26">
        <v>-201056.65454545399</v>
      </c>
      <c r="G655" s="23" t="s">
        <v>172</v>
      </c>
      <c r="H655" s="23">
        <v>10</v>
      </c>
    </row>
    <row r="656" spans="1:8" x14ac:dyDescent="0.3">
      <c r="A656" s="23" t="s">
        <v>1854</v>
      </c>
      <c r="B656" s="23" t="s">
        <v>1855</v>
      </c>
      <c r="C656" s="26" t="s">
        <v>1856</v>
      </c>
      <c r="D656" s="23" t="s">
        <v>176</v>
      </c>
      <c r="E656" s="23" t="s">
        <v>177</v>
      </c>
      <c r="F656" s="26">
        <v>-204456.91515151499</v>
      </c>
      <c r="G656" s="23" t="s">
        <v>57</v>
      </c>
      <c r="H656" s="23">
        <v>10</v>
      </c>
    </row>
    <row r="657" spans="1:8" x14ac:dyDescent="0.3">
      <c r="A657" s="23" t="s">
        <v>1857</v>
      </c>
      <c r="B657" s="23" t="s">
        <v>1858</v>
      </c>
      <c r="C657" s="26" t="s">
        <v>1859</v>
      </c>
      <c r="D657" s="23" t="s">
        <v>1724</v>
      </c>
      <c r="E657" s="23" t="s">
        <v>182</v>
      </c>
      <c r="F657" s="26" t="s">
        <v>1725</v>
      </c>
      <c r="G657" s="23" t="s">
        <v>184</v>
      </c>
      <c r="H657" s="23">
        <v>10</v>
      </c>
    </row>
    <row r="658" spans="1:8" x14ac:dyDescent="0.3">
      <c r="A658" s="23" t="s">
        <v>1860</v>
      </c>
      <c r="B658" s="23" t="s">
        <v>1861</v>
      </c>
      <c r="C658" s="29">
        <v>19738690685</v>
      </c>
      <c r="D658" s="23" t="s">
        <v>187</v>
      </c>
      <c r="E658" s="23" t="s">
        <v>188</v>
      </c>
      <c r="F658" s="26">
        <v>418681</v>
      </c>
      <c r="G658" s="23" t="s">
        <v>188</v>
      </c>
      <c r="H658" s="23">
        <v>30</v>
      </c>
    </row>
    <row r="659" spans="1:8" x14ac:dyDescent="0.3">
      <c r="A659" s="23" t="s">
        <v>1862</v>
      </c>
      <c r="B659" s="23" t="s">
        <v>1863</v>
      </c>
      <c r="C659" s="26">
        <v>21102008480</v>
      </c>
      <c r="D659" s="23" t="s">
        <v>1730</v>
      </c>
      <c r="E659" s="23" t="s">
        <v>192</v>
      </c>
      <c r="F659" s="26">
        <v>443655</v>
      </c>
      <c r="G659" s="23" t="s">
        <v>35</v>
      </c>
      <c r="H659" s="23">
        <v>20</v>
      </c>
    </row>
    <row r="660" spans="1:8" x14ac:dyDescent="0.3">
      <c r="A660" s="23" t="s">
        <v>1864</v>
      </c>
      <c r="B660" s="23" t="s">
        <v>1865</v>
      </c>
      <c r="C660" s="26" t="s">
        <v>1866</v>
      </c>
      <c r="D660" s="23" t="s">
        <v>1733</v>
      </c>
      <c r="E660" s="23" t="s">
        <v>197</v>
      </c>
      <c r="F660" s="26" t="s">
        <v>1734</v>
      </c>
      <c r="G660" s="23" t="s">
        <v>184</v>
      </c>
      <c r="H660" s="23">
        <v>20</v>
      </c>
    </row>
    <row r="661" spans="1:8" x14ac:dyDescent="0.3">
      <c r="A661" s="23" t="s">
        <v>1867</v>
      </c>
      <c r="B661" s="23" t="s">
        <v>1868</v>
      </c>
      <c r="C661" s="26" t="s">
        <v>1869</v>
      </c>
      <c r="D661" s="23" t="s">
        <v>1737</v>
      </c>
      <c r="E661" s="23" t="s">
        <v>203</v>
      </c>
      <c r="F661" s="26">
        <v>407761.42857142899</v>
      </c>
      <c r="G661" s="23" t="s">
        <v>115</v>
      </c>
      <c r="H661" s="23">
        <v>30</v>
      </c>
    </row>
    <row r="662" spans="1:8" x14ac:dyDescent="0.3">
      <c r="A662" s="23" t="s">
        <v>1870</v>
      </c>
      <c r="B662" s="23" t="s">
        <v>1871</v>
      </c>
      <c r="C662" s="26" t="s">
        <v>1872</v>
      </c>
      <c r="D662" s="23" t="s">
        <v>1740</v>
      </c>
      <c r="E662" s="23" t="s">
        <v>208</v>
      </c>
      <c r="F662" s="26">
        <v>415831.28571428597</v>
      </c>
      <c r="G662" s="23" t="s">
        <v>57</v>
      </c>
      <c r="H662" s="23">
        <v>30</v>
      </c>
    </row>
    <row r="663" spans="1:8" x14ac:dyDescent="0.3">
      <c r="A663" s="23" t="s">
        <v>1873</v>
      </c>
      <c r="B663" s="23" t="s">
        <v>1874</v>
      </c>
      <c r="C663" s="29">
        <v>652217562</v>
      </c>
      <c r="D663" s="23" t="s">
        <v>211</v>
      </c>
      <c r="E663" s="23" t="s">
        <v>188</v>
      </c>
      <c r="F663" s="26">
        <v>423901.14285714302</v>
      </c>
      <c r="G663" s="23" t="s">
        <v>188</v>
      </c>
      <c r="H663" s="23">
        <v>20</v>
      </c>
    </row>
    <row r="664" spans="1:8" x14ac:dyDescent="0.3">
      <c r="A664" s="23" t="s">
        <v>1875</v>
      </c>
      <c r="B664" s="23" t="s">
        <v>1876</v>
      </c>
      <c r="C664" s="26" t="s">
        <v>1877</v>
      </c>
      <c r="D664" s="23" t="s">
        <v>215</v>
      </c>
      <c r="E664" s="23" t="s">
        <v>216</v>
      </c>
      <c r="F664" s="26">
        <v>431971</v>
      </c>
      <c r="G664" s="23" t="s">
        <v>30</v>
      </c>
      <c r="H664" s="23">
        <v>10</v>
      </c>
    </row>
    <row r="665" spans="1:8" x14ac:dyDescent="0.3">
      <c r="A665" s="23" t="s">
        <v>1878</v>
      </c>
      <c r="B665" s="23" t="s">
        <v>1879</v>
      </c>
      <c r="C665" s="26" t="s">
        <v>1880</v>
      </c>
      <c r="D665" s="23" t="s">
        <v>1747</v>
      </c>
      <c r="E665" s="23" t="s">
        <v>221</v>
      </c>
      <c r="F665" s="26">
        <v>440040.85714285797</v>
      </c>
      <c r="G665" s="23" t="s">
        <v>30</v>
      </c>
      <c r="H665" s="23">
        <v>10</v>
      </c>
    </row>
    <row r="666" spans="1:8" x14ac:dyDescent="0.3">
      <c r="A666" s="23" t="s">
        <v>1881</v>
      </c>
      <c r="B666" s="23" t="s">
        <v>1882</v>
      </c>
      <c r="C666" s="26">
        <v>365553000000</v>
      </c>
      <c r="D666" s="23" t="s">
        <v>28</v>
      </c>
      <c r="E666" s="23" t="s">
        <v>29</v>
      </c>
      <c r="F666" s="26">
        <v>448110.71428571502</v>
      </c>
      <c r="G666" s="23" t="s">
        <v>30</v>
      </c>
      <c r="H666" s="23">
        <v>10</v>
      </c>
    </row>
    <row r="667" spans="1:8" x14ac:dyDescent="0.3">
      <c r="A667" s="23" t="s">
        <v>1883</v>
      </c>
      <c r="B667" s="23" t="s">
        <v>1884</v>
      </c>
      <c r="C667" s="26">
        <v>366590220000</v>
      </c>
      <c r="D667" s="23" t="s">
        <v>1752</v>
      </c>
      <c r="E667" s="23" t="s">
        <v>34</v>
      </c>
      <c r="F667" s="26">
        <v>456180.571428572</v>
      </c>
      <c r="G667" s="23" t="s">
        <v>35</v>
      </c>
      <c r="H667" s="23">
        <v>20</v>
      </c>
    </row>
    <row r="668" spans="1:8" x14ac:dyDescent="0.3">
      <c r="A668" s="23" t="s">
        <v>1885</v>
      </c>
      <c r="B668" s="23" t="s">
        <v>1886</v>
      </c>
      <c r="C668" s="26">
        <v>367627440000</v>
      </c>
      <c r="D668" s="23" t="s">
        <v>39</v>
      </c>
      <c r="E668" s="23" t="s">
        <v>40</v>
      </c>
      <c r="F668" s="26" t="s">
        <v>41</v>
      </c>
      <c r="G668" s="23" t="s">
        <v>42</v>
      </c>
      <c r="H668" s="23">
        <v>20</v>
      </c>
    </row>
    <row r="669" spans="1:8" x14ac:dyDescent="0.3">
      <c r="A669" s="23" t="s">
        <v>1887</v>
      </c>
      <c r="B669" s="23" t="s">
        <v>1888</v>
      </c>
      <c r="C669" s="26">
        <v>368664660000</v>
      </c>
      <c r="D669" s="23" t="s">
        <v>1757</v>
      </c>
      <c r="E669" s="23" t="s">
        <v>47</v>
      </c>
      <c r="F669" s="26">
        <v>-269223.33333333302</v>
      </c>
      <c r="G669" s="23" t="s">
        <v>48</v>
      </c>
      <c r="H669" s="23">
        <v>10</v>
      </c>
    </row>
    <row r="670" spans="1:8" x14ac:dyDescent="0.3">
      <c r="A670" s="23" t="s">
        <v>1889</v>
      </c>
      <c r="B670" s="23" t="s">
        <v>1890</v>
      </c>
      <c r="C670" s="26">
        <v>369701880000</v>
      </c>
      <c r="D670" s="23" t="s">
        <v>1760</v>
      </c>
      <c r="E670" s="23" t="s">
        <v>52</v>
      </c>
      <c r="F670" s="26">
        <v>-282210.33333333302</v>
      </c>
      <c r="G670" s="23" t="s">
        <v>35</v>
      </c>
      <c r="H670" s="23">
        <v>10</v>
      </c>
    </row>
    <row r="671" spans="1:8" x14ac:dyDescent="0.3">
      <c r="A671" s="23" t="s">
        <v>1891</v>
      </c>
      <c r="B671" s="23" t="s">
        <v>1892</v>
      </c>
      <c r="C671" s="26">
        <v>370739100000</v>
      </c>
      <c r="D671" s="23" t="s">
        <v>1763</v>
      </c>
      <c r="E671" s="23" t="s">
        <v>56</v>
      </c>
      <c r="F671" s="26">
        <v>-295197.33333333302</v>
      </c>
      <c r="G671" s="23" t="s">
        <v>57</v>
      </c>
      <c r="H671" s="23">
        <v>20</v>
      </c>
    </row>
    <row r="672" spans="1:8" x14ac:dyDescent="0.3">
      <c r="A672" s="23" t="s">
        <v>1893</v>
      </c>
      <c r="B672" s="23" t="s">
        <v>1894</v>
      </c>
      <c r="C672" s="26">
        <v>371776320000</v>
      </c>
      <c r="D672" s="23" t="s">
        <v>1766</v>
      </c>
      <c r="E672" s="23" t="s">
        <v>62</v>
      </c>
      <c r="F672" s="26" t="s">
        <v>1767</v>
      </c>
      <c r="G672" s="23" t="s">
        <v>64</v>
      </c>
      <c r="H672" s="23">
        <v>30</v>
      </c>
    </row>
    <row r="673" spans="1:8" x14ac:dyDescent="0.3">
      <c r="A673" s="23" t="s">
        <v>1895</v>
      </c>
      <c r="B673" s="23" t="s">
        <v>1896</v>
      </c>
      <c r="C673" s="26">
        <v>372813540000</v>
      </c>
      <c r="D673" s="23" t="s">
        <v>1770</v>
      </c>
      <c r="E673" s="23" t="s">
        <v>69</v>
      </c>
      <c r="F673" s="26">
        <v>372779.82142857002</v>
      </c>
      <c r="G673" s="23" t="s">
        <v>57</v>
      </c>
      <c r="H673" s="23">
        <v>20</v>
      </c>
    </row>
    <row r="674" spans="1:8" x14ac:dyDescent="0.3">
      <c r="A674" s="23" t="s">
        <v>1897</v>
      </c>
      <c r="B674" s="23" t="s">
        <v>1898</v>
      </c>
      <c r="C674" s="26">
        <v>373850760000</v>
      </c>
      <c r="D674" s="23" t="s">
        <v>73</v>
      </c>
      <c r="E674" s="23" t="s">
        <v>74</v>
      </c>
      <c r="F674" s="26">
        <v>378508.357142856</v>
      </c>
      <c r="G674" s="23" t="s">
        <v>30</v>
      </c>
      <c r="H674" s="23">
        <v>20</v>
      </c>
    </row>
    <row r="675" spans="1:8" x14ac:dyDescent="0.3">
      <c r="A675" s="23" t="s">
        <v>1899</v>
      </c>
      <c r="B675" s="23" t="s">
        <v>1900</v>
      </c>
      <c r="C675" s="26">
        <v>374887980000</v>
      </c>
      <c r="D675" s="23" t="s">
        <v>1775</v>
      </c>
      <c r="E675" s="23" t="s">
        <v>78</v>
      </c>
      <c r="F675" s="26">
        <v>384236.89285714098</v>
      </c>
      <c r="G675" s="23" t="s">
        <v>35</v>
      </c>
      <c r="H675" s="23">
        <v>20</v>
      </c>
    </row>
    <row r="676" spans="1:8" x14ac:dyDescent="0.3">
      <c r="A676" s="23" t="s">
        <v>1901</v>
      </c>
      <c r="B676" s="23" t="s">
        <v>1902</v>
      </c>
      <c r="C676" s="26">
        <v>375925200000</v>
      </c>
      <c r="D676" s="23" t="s">
        <v>1778</v>
      </c>
      <c r="E676" s="23" t="s">
        <v>83</v>
      </c>
      <c r="F676" s="26">
        <v>389965.42857142701</v>
      </c>
      <c r="G676" s="23" t="s">
        <v>84</v>
      </c>
      <c r="H676" s="23">
        <v>10</v>
      </c>
    </row>
    <row r="677" spans="1:8" x14ac:dyDescent="0.3">
      <c r="A677" s="23" t="s">
        <v>1903</v>
      </c>
      <c r="B677" s="23" t="s">
        <v>1904</v>
      </c>
      <c r="C677" s="26">
        <v>376962420000</v>
      </c>
      <c r="D677" s="23" t="s">
        <v>1905</v>
      </c>
      <c r="E677" s="23" t="s">
        <v>74</v>
      </c>
      <c r="F677" s="26">
        <v>395693.96428571298</v>
      </c>
      <c r="G677" s="23" t="s">
        <v>30</v>
      </c>
      <c r="H677" s="23">
        <v>20</v>
      </c>
    </row>
    <row r="678" spans="1:8" x14ac:dyDescent="0.3">
      <c r="A678" s="23" t="s">
        <v>1906</v>
      </c>
      <c r="B678" s="23" t="s">
        <v>1907</v>
      </c>
      <c r="C678" s="26">
        <v>377999640000</v>
      </c>
      <c r="D678" s="23" t="s">
        <v>1908</v>
      </c>
      <c r="E678" s="23" t="s">
        <v>92</v>
      </c>
      <c r="F678" s="26">
        <v>401422.49999999901</v>
      </c>
      <c r="G678" s="23" t="s">
        <v>35</v>
      </c>
      <c r="H678" s="23">
        <v>20</v>
      </c>
    </row>
    <row r="679" spans="1:8" x14ac:dyDescent="0.3">
      <c r="A679" s="23" t="s">
        <v>1909</v>
      </c>
      <c r="B679" s="23" t="s">
        <v>1910</v>
      </c>
      <c r="C679" s="26">
        <v>379036860000</v>
      </c>
      <c r="D679" s="23" t="s">
        <v>1911</v>
      </c>
      <c r="E679" s="23" t="s">
        <v>96</v>
      </c>
      <c r="F679" s="26">
        <v>407151.03571428399</v>
      </c>
      <c r="G679" s="23" t="s">
        <v>35</v>
      </c>
      <c r="H679" s="23">
        <v>10</v>
      </c>
    </row>
    <row r="680" spans="1:8" x14ac:dyDescent="0.3">
      <c r="A680" s="23" t="s">
        <v>1912</v>
      </c>
      <c r="B680" s="23" t="s">
        <v>1913</v>
      </c>
      <c r="C680" s="26">
        <v>380074080000</v>
      </c>
      <c r="D680" s="23" t="s">
        <v>100</v>
      </c>
      <c r="E680" s="23" t="s">
        <v>101</v>
      </c>
      <c r="F680" s="26" t="s">
        <v>1914</v>
      </c>
      <c r="G680" s="23" t="s">
        <v>84</v>
      </c>
      <c r="H680" s="23">
        <v>20</v>
      </c>
    </row>
    <row r="681" spans="1:8" x14ac:dyDescent="0.3">
      <c r="A681" s="23" t="s">
        <v>1915</v>
      </c>
      <c r="B681" s="23" t="s">
        <v>1916</v>
      </c>
      <c r="C681" s="26">
        <v>381111300000</v>
      </c>
      <c r="D681" s="23" t="s">
        <v>1917</v>
      </c>
      <c r="E681" s="23" t="s">
        <v>107</v>
      </c>
      <c r="F681" s="26" t="s">
        <v>1918</v>
      </c>
      <c r="G681" s="23" t="s">
        <v>109</v>
      </c>
      <c r="H681" s="23">
        <v>20</v>
      </c>
    </row>
    <row r="682" spans="1:8" x14ac:dyDescent="0.3">
      <c r="A682" s="23" t="s">
        <v>1919</v>
      </c>
      <c r="B682" s="23" t="s">
        <v>1920</v>
      </c>
      <c r="C682" s="26">
        <v>382148520000</v>
      </c>
      <c r="D682" s="23" t="s">
        <v>1921</v>
      </c>
      <c r="E682" s="23" t="s">
        <v>114</v>
      </c>
      <c r="F682" s="26">
        <v>1130947.66666667</v>
      </c>
      <c r="G682" s="23" t="s">
        <v>115</v>
      </c>
      <c r="H682" s="23">
        <v>20</v>
      </c>
    </row>
    <row r="683" spans="1:8" x14ac:dyDescent="0.3">
      <c r="A683" s="23" t="s">
        <v>1922</v>
      </c>
      <c r="B683" s="23" t="s">
        <v>1923</v>
      </c>
      <c r="C683" s="26">
        <v>383185740000</v>
      </c>
      <c r="D683" s="23" t="s">
        <v>1924</v>
      </c>
      <c r="E683" s="23" t="s">
        <v>119</v>
      </c>
      <c r="F683" s="26">
        <v>1177218.66666667</v>
      </c>
      <c r="G683" s="23" t="s">
        <v>35</v>
      </c>
      <c r="H683" s="23">
        <v>30</v>
      </c>
    </row>
    <row r="684" spans="1:8" x14ac:dyDescent="0.3">
      <c r="A684" s="23" t="s">
        <v>1925</v>
      </c>
      <c r="B684" s="23" t="s">
        <v>1926</v>
      </c>
      <c r="C684" s="26">
        <v>384222960000</v>
      </c>
      <c r="D684" s="23" t="s">
        <v>1927</v>
      </c>
      <c r="E684" s="23" t="s">
        <v>123</v>
      </c>
      <c r="F684" s="26">
        <v>1223489.66666667</v>
      </c>
      <c r="G684" s="23" t="s">
        <v>35</v>
      </c>
      <c r="H684" s="23">
        <v>10</v>
      </c>
    </row>
    <row r="685" spans="1:8" x14ac:dyDescent="0.3">
      <c r="A685" s="23" t="s">
        <v>1928</v>
      </c>
      <c r="B685" s="23" t="s">
        <v>1929</v>
      </c>
      <c r="C685" s="26">
        <v>385260180000</v>
      </c>
      <c r="D685" s="23" t="s">
        <v>127</v>
      </c>
      <c r="E685" s="23" t="s">
        <v>128</v>
      </c>
      <c r="F685" s="26" t="s">
        <v>1930</v>
      </c>
      <c r="G685" s="23" t="s">
        <v>130</v>
      </c>
      <c r="H685" s="23">
        <v>20</v>
      </c>
    </row>
    <row r="686" spans="1:8" x14ac:dyDescent="0.3">
      <c r="A686" s="23" t="s">
        <v>1931</v>
      </c>
      <c r="B686" s="23" t="s">
        <v>1932</v>
      </c>
      <c r="C686" s="26">
        <v>386297400000</v>
      </c>
      <c r="D686" s="23" t="s">
        <v>1933</v>
      </c>
      <c r="E686" s="23" t="s">
        <v>134</v>
      </c>
      <c r="F686" s="26">
        <v>-207857.17575757499</v>
      </c>
      <c r="G686" s="23" t="s">
        <v>35</v>
      </c>
      <c r="H686" s="23">
        <v>20</v>
      </c>
    </row>
    <row r="687" spans="1:8" x14ac:dyDescent="0.3">
      <c r="A687" s="23" t="s">
        <v>1934</v>
      </c>
      <c r="B687" s="23" t="s">
        <v>1935</v>
      </c>
      <c r="C687" s="26">
        <v>387334620000</v>
      </c>
      <c r="D687" s="23" t="s">
        <v>1936</v>
      </c>
      <c r="E687" s="23" t="s">
        <v>139</v>
      </c>
      <c r="F687" s="26">
        <v>-211257.43636363599</v>
      </c>
      <c r="G687" s="23" t="s">
        <v>84</v>
      </c>
      <c r="H687" s="23">
        <v>30</v>
      </c>
    </row>
    <row r="688" spans="1:8" x14ac:dyDescent="0.3">
      <c r="A688" s="23" t="s">
        <v>1937</v>
      </c>
      <c r="B688" s="23" t="s">
        <v>1938</v>
      </c>
      <c r="C688" s="26">
        <v>388371840000</v>
      </c>
      <c r="D688" s="23" t="s">
        <v>143</v>
      </c>
      <c r="E688" s="23" t="s">
        <v>144</v>
      </c>
      <c r="F688" s="26">
        <v>-214657.696969696</v>
      </c>
      <c r="G688" s="23" t="s">
        <v>30</v>
      </c>
      <c r="H688" s="23">
        <v>10</v>
      </c>
    </row>
    <row r="689" spans="1:8" x14ac:dyDescent="0.3">
      <c r="A689" s="23" t="s">
        <v>1939</v>
      </c>
      <c r="B689" s="23" t="s">
        <v>1940</v>
      </c>
      <c r="C689" s="26">
        <v>389409060000</v>
      </c>
      <c r="D689" s="23" t="s">
        <v>1941</v>
      </c>
      <c r="E689" s="23" t="s">
        <v>34</v>
      </c>
      <c r="F689" s="26">
        <v>-218057.957575757</v>
      </c>
      <c r="G689" s="23" t="s">
        <v>35</v>
      </c>
      <c r="H689" s="23">
        <v>20</v>
      </c>
    </row>
    <row r="690" spans="1:8" x14ac:dyDescent="0.3">
      <c r="A690" s="23" t="s">
        <v>1942</v>
      </c>
      <c r="B690" s="23" t="s">
        <v>1943</v>
      </c>
      <c r="C690" s="26">
        <v>390446280000</v>
      </c>
      <c r="D690" s="23" t="s">
        <v>1944</v>
      </c>
      <c r="E690" s="23" t="s">
        <v>152</v>
      </c>
      <c r="F690" s="26">
        <v>-221458.218181818</v>
      </c>
      <c r="G690" s="23" t="s">
        <v>153</v>
      </c>
      <c r="H690" s="23">
        <v>10</v>
      </c>
    </row>
    <row r="691" spans="1:8" x14ac:dyDescent="0.3">
      <c r="A691" s="23" t="s">
        <v>1945</v>
      </c>
      <c r="B691" s="23" t="s">
        <v>1946</v>
      </c>
      <c r="C691" s="26">
        <v>391483500000</v>
      </c>
      <c r="D691" s="23" t="s">
        <v>1947</v>
      </c>
      <c r="E691" s="23" t="s">
        <v>157</v>
      </c>
      <c r="F691" s="26">
        <v>-224858.478787878</v>
      </c>
      <c r="G691" s="23" t="s">
        <v>35</v>
      </c>
      <c r="H691" s="23">
        <v>20</v>
      </c>
    </row>
    <row r="692" spans="1:8" x14ac:dyDescent="0.3">
      <c r="A692" s="23" t="s">
        <v>1948</v>
      </c>
      <c r="B692" s="23" t="s">
        <v>1949</v>
      </c>
      <c r="C692" s="26">
        <v>392520720000</v>
      </c>
      <c r="D692" s="23" t="s">
        <v>160</v>
      </c>
      <c r="E692" s="23" t="s">
        <v>161</v>
      </c>
      <c r="F692" s="26">
        <v>-228258.739393939</v>
      </c>
      <c r="G692" s="23" t="s">
        <v>35</v>
      </c>
      <c r="H692" s="23">
        <v>20</v>
      </c>
    </row>
    <row r="693" spans="1:8" x14ac:dyDescent="0.3">
      <c r="A693" s="23" t="s">
        <v>1950</v>
      </c>
      <c r="B693" s="23" t="s">
        <v>1951</v>
      </c>
      <c r="C693" s="26">
        <v>393557940000</v>
      </c>
      <c r="D693" s="23" t="s">
        <v>1952</v>
      </c>
      <c r="E693" s="23" t="s">
        <v>166</v>
      </c>
      <c r="F693" s="26">
        <v>-231658.99999999901</v>
      </c>
      <c r="G693" s="23" t="s">
        <v>30</v>
      </c>
      <c r="H693" s="23">
        <v>20</v>
      </c>
    </row>
    <row r="694" spans="1:8" x14ac:dyDescent="0.3">
      <c r="A694" s="23" t="s">
        <v>1953</v>
      </c>
      <c r="B694" s="23" t="s">
        <v>1954</v>
      </c>
      <c r="C694" s="26">
        <v>394595160000</v>
      </c>
      <c r="D694" s="23" t="s">
        <v>1955</v>
      </c>
      <c r="E694" s="23" t="s">
        <v>171</v>
      </c>
      <c r="F694" s="26">
        <v>-235059.26060606001</v>
      </c>
      <c r="G694" s="23" t="s">
        <v>172</v>
      </c>
      <c r="H694" s="23">
        <v>20</v>
      </c>
    </row>
    <row r="695" spans="1:8" x14ac:dyDescent="0.3">
      <c r="A695" s="23" t="s">
        <v>1956</v>
      </c>
      <c r="B695" s="23" t="s">
        <v>1957</v>
      </c>
      <c r="C695" s="26">
        <v>395632380000</v>
      </c>
      <c r="D695" s="23" t="s">
        <v>176</v>
      </c>
      <c r="E695" s="23" t="s">
        <v>177</v>
      </c>
      <c r="F695" s="26">
        <v>-238459.52121211999</v>
      </c>
      <c r="G695" s="23" t="s">
        <v>57</v>
      </c>
      <c r="H695" s="23">
        <v>20</v>
      </c>
    </row>
    <row r="696" spans="1:8" x14ac:dyDescent="0.3">
      <c r="A696" s="23" t="s">
        <v>1958</v>
      </c>
      <c r="B696" s="23" t="s">
        <v>1959</v>
      </c>
      <c r="C696" s="26">
        <v>396669600000</v>
      </c>
      <c r="D696" s="23" t="s">
        <v>1960</v>
      </c>
      <c r="E696" s="23" t="s">
        <v>182</v>
      </c>
      <c r="F696" s="26" t="s">
        <v>1961</v>
      </c>
      <c r="G696" s="23" t="s">
        <v>184</v>
      </c>
      <c r="H696" s="23">
        <v>10</v>
      </c>
    </row>
    <row r="697" spans="1:8" x14ac:dyDescent="0.3">
      <c r="A697" s="23" t="s">
        <v>1962</v>
      </c>
      <c r="B697" s="23" t="s">
        <v>1963</v>
      </c>
      <c r="C697" s="26">
        <v>397706820000</v>
      </c>
      <c r="D697" s="23" t="s">
        <v>187</v>
      </c>
      <c r="E697" s="23" t="s">
        <v>188</v>
      </c>
      <c r="F697" s="26">
        <v>468629</v>
      </c>
      <c r="G697" s="23" t="s">
        <v>188</v>
      </c>
      <c r="H697" s="23">
        <v>10</v>
      </c>
    </row>
    <row r="698" spans="1:8" x14ac:dyDescent="0.3">
      <c r="A698" s="23" t="s">
        <v>1964</v>
      </c>
      <c r="B698" s="23" t="s">
        <v>1965</v>
      </c>
      <c r="C698" s="26">
        <v>398744040000</v>
      </c>
      <c r="D698" s="23" t="s">
        <v>1966</v>
      </c>
      <c r="E698" s="23" t="s">
        <v>192</v>
      </c>
      <c r="F698" s="26">
        <v>493603</v>
      </c>
      <c r="G698" s="23" t="s">
        <v>35</v>
      </c>
      <c r="H698" s="23">
        <v>20</v>
      </c>
    </row>
    <row r="699" spans="1:8" x14ac:dyDescent="0.3">
      <c r="A699" s="23" t="s">
        <v>1967</v>
      </c>
      <c r="B699" s="23" t="s">
        <v>1968</v>
      </c>
      <c r="C699" s="26">
        <v>399781260000</v>
      </c>
      <c r="D699" s="23" t="s">
        <v>1969</v>
      </c>
      <c r="E699" s="23" t="s">
        <v>197</v>
      </c>
      <c r="F699" s="26" t="s">
        <v>1970</v>
      </c>
      <c r="G699" s="23" t="s">
        <v>184</v>
      </c>
      <c r="H699" s="23">
        <v>20</v>
      </c>
    </row>
    <row r="700" spans="1:8" x14ac:dyDescent="0.3">
      <c r="A700" s="23" t="s">
        <v>1971</v>
      </c>
      <c r="B700" s="23" t="s">
        <v>1972</v>
      </c>
      <c r="C700" s="26">
        <v>400818480000</v>
      </c>
      <c r="D700" s="23" t="s">
        <v>1973</v>
      </c>
      <c r="E700" s="23" t="s">
        <v>203</v>
      </c>
      <c r="F700" s="26">
        <v>309769.92857142899</v>
      </c>
      <c r="G700" s="23" t="s">
        <v>115</v>
      </c>
      <c r="H700" s="23">
        <v>10</v>
      </c>
    </row>
    <row r="701" spans="1:8" x14ac:dyDescent="0.3">
      <c r="A701" s="23" t="s">
        <v>1974</v>
      </c>
      <c r="B701" s="23" t="s">
        <v>1975</v>
      </c>
      <c r="C701" s="26">
        <v>401855700000</v>
      </c>
      <c r="D701" s="23" t="s">
        <v>1976</v>
      </c>
      <c r="E701" s="23" t="s">
        <v>208</v>
      </c>
      <c r="F701" s="26">
        <v>315194.60714285797</v>
      </c>
      <c r="G701" s="23" t="s">
        <v>57</v>
      </c>
      <c r="H701" s="23">
        <v>20</v>
      </c>
    </row>
    <row r="702" spans="1:8" x14ac:dyDescent="0.3">
      <c r="A702" s="23" t="s">
        <v>1977</v>
      </c>
      <c r="B702" s="23" t="s">
        <v>1978</v>
      </c>
      <c r="C702" s="26">
        <v>402892920000</v>
      </c>
      <c r="D702" s="23" t="s">
        <v>211</v>
      </c>
      <c r="E702" s="23" t="s">
        <v>188</v>
      </c>
      <c r="F702" s="26">
        <v>320619.28571428597</v>
      </c>
      <c r="G702" s="23" t="s">
        <v>188</v>
      </c>
      <c r="H702" s="23">
        <v>10</v>
      </c>
    </row>
    <row r="703" spans="1:8" x14ac:dyDescent="0.3">
      <c r="A703" s="23" t="s">
        <v>1979</v>
      </c>
      <c r="B703" s="23" t="s">
        <v>1980</v>
      </c>
      <c r="C703" s="26">
        <v>403930140000</v>
      </c>
      <c r="D703" s="23" t="s">
        <v>215</v>
      </c>
      <c r="E703" s="23" t="s">
        <v>216</v>
      </c>
      <c r="F703" s="26">
        <v>326043.96428571502</v>
      </c>
      <c r="G703" s="23" t="s">
        <v>30</v>
      </c>
      <c r="H703" s="23">
        <v>10</v>
      </c>
    </row>
    <row r="704" spans="1:8" x14ac:dyDescent="0.3">
      <c r="A704" s="23" t="s">
        <v>1981</v>
      </c>
      <c r="B704" s="23" t="s">
        <v>1982</v>
      </c>
      <c r="C704" s="26">
        <v>404967360000</v>
      </c>
      <c r="D704" s="23" t="s">
        <v>1983</v>
      </c>
      <c r="E704" s="23" t="s">
        <v>221</v>
      </c>
      <c r="F704" s="26">
        <v>331468.64285714302</v>
      </c>
      <c r="G704" s="23" t="s">
        <v>30</v>
      </c>
      <c r="H704" s="23">
        <v>20</v>
      </c>
    </row>
    <row r="705" spans="1:8" x14ac:dyDescent="0.3">
      <c r="A705" s="23" t="s">
        <v>1984</v>
      </c>
      <c r="B705" s="23" t="s">
        <v>1985</v>
      </c>
      <c r="C705" s="26">
        <v>406004580000</v>
      </c>
      <c r="D705" s="23" t="s">
        <v>28</v>
      </c>
      <c r="E705" s="23" t="s">
        <v>29</v>
      </c>
      <c r="F705" s="26">
        <v>336893.321428572</v>
      </c>
      <c r="G705" s="23" t="s">
        <v>30</v>
      </c>
      <c r="H705" s="23">
        <v>10</v>
      </c>
    </row>
    <row r="706" spans="1:8" x14ac:dyDescent="0.3">
      <c r="A706" s="23" t="s">
        <v>1986</v>
      </c>
      <c r="B706" s="23" t="s">
        <v>1987</v>
      </c>
      <c r="C706" s="26">
        <v>407041800000</v>
      </c>
      <c r="D706" s="23" t="s">
        <v>1988</v>
      </c>
      <c r="E706" s="23" t="s">
        <v>34</v>
      </c>
      <c r="F706" s="26">
        <v>342318</v>
      </c>
      <c r="G706" s="23" t="s">
        <v>35</v>
      </c>
      <c r="H706" s="23">
        <v>20</v>
      </c>
    </row>
    <row r="707" spans="1:8" x14ac:dyDescent="0.3">
      <c r="A707" s="23" t="s">
        <v>1989</v>
      </c>
      <c r="B707" s="23" t="s">
        <v>1990</v>
      </c>
      <c r="C707" s="26">
        <v>408079020000</v>
      </c>
      <c r="D707" s="23" t="s">
        <v>39</v>
      </c>
      <c r="E707" s="23" t="s">
        <v>40</v>
      </c>
      <c r="F707" s="26" t="s">
        <v>41</v>
      </c>
      <c r="G707" s="23" t="s">
        <v>42</v>
      </c>
      <c r="H707" s="23">
        <v>10</v>
      </c>
    </row>
    <row r="708" spans="1:8" x14ac:dyDescent="0.3">
      <c r="A708" s="23" t="s">
        <v>1991</v>
      </c>
      <c r="B708" s="23" t="s">
        <v>1992</v>
      </c>
      <c r="C708" s="26">
        <v>409116240000</v>
      </c>
      <c r="D708" s="23" t="s">
        <v>1993</v>
      </c>
      <c r="E708" s="23" t="s">
        <v>47</v>
      </c>
      <c r="F708" s="26">
        <v>-308184.33333333302</v>
      </c>
      <c r="G708" s="23" t="s">
        <v>48</v>
      </c>
      <c r="H708" s="23">
        <v>20</v>
      </c>
    </row>
    <row r="709" spans="1:8" x14ac:dyDescent="0.3">
      <c r="A709" s="23" t="s">
        <v>1994</v>
      </c>
      <c r="B709" s="23" t="s">
        <v>1995</v>
      </c>
      <c r="C709" s="26">
        <v>410153460000</v>
      </c>
      <c r="D709" s="23" t="s">
        <v>1996</v>
      </c>
      <c r="E709" s="23" t="s">
        <v>52</v>
      </c>
      <c r="F709" s="26">
        <v>-321171.33333333302</v>
      </c>
      <c r="G709" s="23" t="s">
        <v>35</v>
      </c>
      <c r="H709" s="23">
        <v>20</v>
      </c>
    </row>
    <row r="710" spans="1:8" x14ac:dyDescent="0.3">
      <c r="A710" s="23" t="s">
        <v>1997</v>
      </c>
      <c r="B710" s="23" t="s">
        <v>1998</v>
      </c>
      <c r="C710" s="26">
        <v>411190680000</v>
      </c>
      <c r="D710" s="23" t="s">
        <v>1999</v>
      </c>
      <c r="E710" s="23" t="s">
        <v>56</v>
      </c>
      <c r="F710" s="26">
        <v>-334158.33333333302</v>
      </c>
      <c r="G710" s="23" t="s">
        <v>57</v>
      </c>
      <c r="H710" s="23">
        <v>20</v>
      </c>
    </row>
    <row r="711" spans="1:8" x14ac:dyDescent="0.3">
      <c r="A711" s="23" t="s">
        <v>2000</v>
      </c>
      <c r="B711" s="23" t="s">
        <v>2001</v>
      </c>
      <c r="C711" s="26">
        <v>412227900000</v>
      </c>
      <c r="D711" s="23" t="s">
        <v>2002</v>
      </c>
      <c r="E711" s="23" t="s">
        <v>62</v>
      </c>
      <c r="F711" s="26" t="s">
        <v>2003</v>
      </c>
      <c r="G711" s="23" t="s">
        <v>64</v>
      </c>
      <c r="H711" s="23">
        <v>10</v>
      </c>
    </row>
    <row r="712" spans="1:8" x14ac:dyDescent="0.3">
      <c r="A712" s="23" t="s">
        <v>2004</v>
      </c>
      <c r="B712" s="23" t="s">
        <v>2005</v>
      </c>
      <c r="C712" s="26">
        <v>413265120000</v>
      </c>
      <c r="D712" s="23" t="s">
        <v>2006</v>
      </c>
      <c r="E712" s="23" t="s">
        <v>69</v>
      </c>
      <c r="F712" s="26">
        <v>292580.32142857899</v>
      </c>
      <c r="G712" s="23" t="s">
        <v>57</v>
      </c>
      <c r="H712" s="23">
        <v>10</v>
      </c>
    </row>
    <row r="713" spans="1:8" x14ac:dyDescent="0.3">
      <c r="A713" s="23" t="s">
        <v>2007</v>
      </c>
      <c r="B713" s="23" t="s">
        <v>2008</v>
      </c>
      <c r="C713" s="26">
        <v>414302340000</v>
      </c>
      <c r="D713" s="23" t="s">
        <v>73</v>
      </c>
      <c r="E713" s="23" t="s">
        <v>74</v>
      </c>
      <c r="F713" s="26">
        <v>298308.85714286502</v>
      </c>
      <c r="G713" s="23" t="s">
        <v>30</v>
      </c>
      <c r="H713" s="23">
        <v>10</v>
      </c>
    </row>
    <row r="714" spans="1:8" x14ac:dyDescent="0.3">
      <c r="A714" s="23" t="s">
        <v>2009</v>
      </c>
      <c r="B714" s="23" t="s">
        <v>2010</v>
      </c>
      <c r="C714" s="26">
        <v>415339560000</v>
      </c>
      <c r="D714" s="23" t="s">
        <v>2011</v>
      </c>
      <c r="E714" s="23" t="s">
        <v>78</v>
      </c>
      <c r="F714" s="26">
        <v>304037.39285715099</v>
      </c>
      <c r="G714" s="23" t="s">
        <v>35</v>
      </c>
      <c r="H714" s="23">
        <v>20</v>
      </c>
    </row>
    <row r="715" spans="1:8" x14ac:dyDescent="0.3">
      <c r="A715" s="23" t="s">
        <v>2012</v>
      </c>
      <c r="B715" s="23" t="s">
        <v>2013</v>
      </c>
      <c r="C715" s="26">
        <v>416376780000</v>
      </c>
      <c r="D715" s="23" t="s">
        <v>2014</v>
      </c>
      <c r="E715" s="23" t="s">
        <v>83</v>
      </c>
      <c r="F715" s="26">
        <v>309765.92857143702</v>
      </c>
      <c r="G715" s="23" t="s">
        <v>84</v>
      </c>
      <c r="H715" s="23">
        <v>20</v>
      </c>
    </row>
    <row r="716" spans="1:8" x14ac:dyDescent="0.3">
      <c r="A716" s="23" t="s">
        <v>2015</v>
      </c>
      <c r="B716" s="23" t="s">
        <v>2016</v>
      </c>
      <c r="C716" s="26" t="s">
        <v>2017</v>
      </c>
      <c r="D716" s="23" t="s">
        <v>28</v>
      </c>
      <c r="E716" s="23" t="s">
        <v>29</v>
      </c>
      <c r="F716" s="26">
        <v>148848</v>
      </c>
      <c r="G716" s="23" t="s">
        <v>30</v>
      </c>
      <c r="H716" s="23">
        <v>10</v>
      </c>
    </row>
    <row r="717" spans="1:8" x14ac:dyDescent="0.3">
      <c r="A717" s="23" t="s">
        <v>2018</v>
      </c>
      <c r="B717" s="23" t="s">
        <v>2019</v>
      </c>
      <c r="C717" s="26">
        <v>5085552563</v>
      </c>
      <c r="D717" s="23" t="s">
        <v>1752</v>
      </c>
      <c r="E717" s="23" t="s">
        <v>34</v>
      </c>
      <c r="F717" s="26">
        <v>155401</v>
      </c>
      <c r="G717" s="23" t="s">
        <v>35</v>
      </c>
      <c r="H717" s="23">
        <v>20</v>
      </c>
    </row>
    <row r="718" spans="1:8" x14ac:dyDescent="0.3">
      <c r="A718" s="23" t="s">
        <v>2020</v>
      </c>
      <c r="B718" s="23" t="s">
        <v>2021</v>
      </c>
      <c r="C718" s="26" t="s">
        <v>2022</v>
      </c>
      <c r="D718" s="23" t="s">
        <v>39</v>
      </c>
      <c r="E718" s="23" t="s">
        <v>40</v>
      </c>
      <c r="F718" s="26" t="s">
        <v>41</v>
      </c>
      <c r="G718" s="23" t="s">
        <v>42</v>
      </c>
      <c r="H718" s="23">
        <v>20</v>
      </c>
    </row>
    <row r="719" spans="1:8" x14ac:dyDescent="0.3">
      <c r="A719" s="23" t="s">
        <v>2023</v>
      </c>
      <c r="B719" s="23" t="s">
        <v>2024</v>
      </c>
      <c r="C719" s="26" t="s">
        <v>2025</v>
      </c>
      <c r="D719" s="23" t="s">
        <v>1757</v>
      </c>
      <c r="E719" s="23" t="s">
        <v>47</v>
      </c>
      <c r="F719" s="26">
        <v>-269223.33333333302</v>
      </c>
      <c r="G719" s="23" t="s">
        <v>48</v>
      </c>
      <c r="H719" s="23">
        <v>10</v>
      </c>
    </row>
    <row r="720" spans="1:8" x14ac:dyDescent="0.3">
      <c r="A720" s="23" t="s">
        <v>2026</v>
      </c>
      <c r="B720" s="23" t="s">
        <v>2027</v>
      </c>
      <c r="C720" s="26">
        <v>-87843481445</v>
      </c>
      <c r="D720" s="23" t="s">
        <v>1760</v>
      </c>
      <c r="E720" s="23" t="s">
        <v>52</v>
      </c>
      <c r="F720" s="26">
        <v>-282210.33333333302</v>
      </c>
      <c r="G720" s="23" t="s">
        <v>35</v>
      </c>
      <c r="H720" s="23">
        <v>10</v>
      </c>
    </row>
    <row r="721" spans="1:8" x14ac:dyDescent="0.3">
      <c r="A721" s="23" t="s">
        <v>2028</v>
      </c>
      <c r="B721" s="23" t="s">
        <v>2029</v>
      </c>
      <c r="C721" s="29">
        <v>-93719671445</v>
      </c>
      <c r="D721" s="23" t="s">
        <v>1763</v>
      </c>
      <c r="E721" s="23" t="s">
        <v>56</v>
      </c>
      <c r="F721" s="26">
        <v>-295197.33333333302</v>
      </c>
      <c r="G721" s="23" t="s">
        <v>57</v>
      </c>
      <c r="H721" s="23">
        <v>10</v>
      </c>
    </row>
    <row r="722" spans="1:8" x14ac:dyDescent="0.3">
      <c r="A722" s="23" t="s">
        <v>2030</v>
      </c>
      <c r="B722" s="23" t="s">
        <v>2031</v>
      </c>
      <c r="C722" s="26" t="s">
        <v>2032</v>
      </c>
      <c r="D722" s="23" t="s">
        <v>1766</v>
      </c>
      <c r="E722" s="23" t="s">
        <v>62</v>
      </c>
      <c r="F722" s="26" t="s">
        <v>1767</v>
      </c>
      <c r="G722" s="23" t="s">
        <v>64</v>
      </c>
      <c r="H722" s="23">
        <v>10</v>
      </c>
    </row>
    <row r="723" spans="1:8" x14ac:dyDescent="0.3">
      <c r="A723" s="23" t="s">
        <v>2033</v>
      </c>
      <c r="B723" s="23" t="s">
        <v>2034</v>
      </c>
      <c r="C723" s="26" t="s">
        <v>2035</v>
      </c>
      <c r="D723" s="23" t="s">
        <v>1770</v>
      </c>
      <c r="E723" s="23" t="s">
        <v>69</v>
      </c>
      <c r="F723" s="26">
        <v>372779.82142857101</v>
      </c>
      <c r="G723" s="23" t="s">
        <v>57</v>
      </c>
      <c r="H723" s="23">
        <v>20</v>
      </c>
    </row>
    <row r="724" spans="1:8" x14ac:dyDescent="0.3">
      <c r="A724" s="23" t="s">
        <v>2036</v>
      </c>
      <c r="B724" s="23" t="s">
        <v>2037</v>
      </c>
      <c r="C724" s="26" t="s">
        <v>2038</v>
      </c>
      <c r="D724" s="23" t="s">
        <v>73</v>
      </c>
      <c r="E724" s="23" t="s">
        <v>74</v>
      </c>
      <c r="F724" s="26">
        <v>378508.35714285698</v>
      </c>
      <c r="G724" s="23" t="s">
        <v>30</v>
      </c>
      <c r="H724" s="23">
        <v>30</v>
      </c>
    </row>
    <row r="725" spans="1:8" x14ac:dyDescent="0.3">
      <c r="A725" s="23" t="s">
        <v>2039</v>
      </c>
      <c r="B725" s="23" t="s">
        <v>2040</v>
      </c>
      <c r="C725" s="26">
        <v>6505556817</v>
      </c>
      <c r="D725" s="23" t="s">
        <v>1775</v>
      </c>
      <c r="E725" s="23" t="s">
        <v>78</v>
      </c>
      <c r="F725" s="26">
        <v>384236.89285714302</v>
      </c>
      <c r="G725" s="23" t="s">
        <v>35</v>
      </c>
      <c r="H725" s="23">
        <v>10</v>
      </c>
    </row>
    <row r="726" spans="1:8" x14ac:dyDescent="0.3">
      <c r="A726" s="23" t="s">
        <v>2041</v>
      </c>
      <c r="B726" s="23" t="s">
        <v>2042</v>
      </c>
      <c r="C726" s="26" t="s">
        <v>2043</v>
      </c>
      <c r="D726" s="23" t="s">
        <v>1778</v>
      </c>
      <c r="E726" s="23" t="s">
        <v>83</v>
      </c>
      <c r="F726" s="26">
        <v>389965.428571428</v>
      </c>
      <c r="G726" s="23" t="s">
        <v>84</v>
      </c>
      <c r="H726" s="23">
        <v>20</v>
      </c>
    </row>
    <row r="727" spans="1:8" x14ac:dyDescent="0.3">
      <c r="A727" s="23" t="s">
        <v>2044</v>
      </c>
      <c r="B727" s="23" t="s">
        <v>2045</v>
      </c>
      <c r="C727" s="26" t="s">
        <v>2046</v>
      </c>
      <c r="D727" s="22" t="s">
        <v>1905</v>
      </c>
      <c r="E727" s="22" t="s">
        <v>74</v>
      </c>
      <c r="F727" s="30">
        <v>395693.96428571403</v>
      </c>
      <c r="G727" s="22" t="s">
        <v>30</v>
      </c>
      <c r="H727" s="23">
        <v>20</v>
      </c>
    </row>
  </sheetData>
  <conditionalFormatting sqref="A3:A92">
    <cfRule type="duplicateValues" dxfId="6" priority="3"/>
  </conditionalFormatting>
  <conditionalFormatting sqref="A3:A727">
    <cfRule type="duplicateValues" dxfId="5" priority="1"/>
    <cfRule type="duplicateValues" dxfId="4" priority="2"/>
  </conditionalFormatting>
  <conditionalFormatting sqref="A93:A727">
    <cfRule type="duplicateValues" dxfId="3" priority="5"/>
  </conditionalFormatting>
  <conditionalFormatting sqref="B3:B92">
    <cfRule type="duplicateValues" dxfId="2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350D-59F7-4063-9939-ACE893662EFC}">
  <sheetPr codeName="Feuil3">
    <tabColor theme="9" tint="-0.499984740745262"/>
  </sheetPr>
  <dimension ref="A1:C22"/>
  <sheetViews>
    <sheetView workbookViewId="0">
      <selection sqref="A1:C22"/>
    </sheetView>
  </sheetViews>
  <sheetFormatPr baseColWidth="10" defaultColWidth="11.44140625" defaultRowHeight="13.8" x14ac:dyDescent="0.3"/>
  <cols>
    <col min="1" max="1" width="29" style="23" customWidth="1"/>
    <col min="2" max="2" width="45.33203125" style="26" bestFit="1" customWidth="1"/>
    <col min="3" max="3" width="24.6640625" style="27" customWidth="1"/>
    <col min="4" max="16384" width="11.44140625" style="22"/>
  </cols>
  <sheetData>
    <row r="1" spans="1:3" ht="16.2" x14ac:dyDescent="0.35">
      <c r="A1" s="54" t="s">
        <v>2095</v>
      </c>
      <c r="B1" s="54"/>
      <c r="C1" s="54"/>
    </row>
    <row r="3" spans="1:3" x14ac:dyDescent="0.3">
      <c r="A3" s="20" t="s">
        <v>2047</v>
      </c>
      <c r="B3" s="20" t="s">
        <v>20</v>
      </c>
      <c r="C3" s="21" t="s">
        <v>2085</v>
      </c>
    </row>
    <row r="4" spans="1:3" x14ac:dyDescent="0.3">
      <c r="A4" s="23" t="s">
        <v>2086</v>
      </c>
      <c r="B4" s="23" t="s">
        <v>2048</v>
      </c>
      <c r="C4" s="24">
        <v>2.4300000000000002</v>
      </c>
    </row>
    <row r="5" spans="1:3" x14ac:dyDescent="0.3">
      <c r="A5" s="25" t="s">
        <v>2049</v>
      </c>
      <c r="B5" s="23" t="s">
        <v>2050</v>
      </c>
      <c r="C5" s="24">
        <v>3.18</v>
      </c>
    </row>
    <row r="6" spans="1:3" x14ac:dyDescent="0.3">
      <c r="A6" s="25" t="s">
        <v>2051</v>
      </c>
      <c r="B6" s="23" t="s">
        <v>2052</v>
      </c>
      <c r="C6" s="24">
        <v>3.18</v>
      </c>
    </row>
    <row r="7" spans="1:3" x14ac:dyDescent="0.3">
      <c r="A7" s="23" t="s">
        <v>2053</v>
      </c>
      <c r="B7" s="23" t="s">
        <v>2054</v>
      </c>
      <c r="C7" s="24">
        <v>1.58</v>
      </c>
    </row>
    <row r="8" spans="1:3" x14ac:dyDescent="0.3">
      <c r="A8" s="23" t="s">
        <v>2055</v>
      </c>
      <c r="B8" s="23" t="s">
        <v>2056</v>
      </c>
      <c r="C8" s="24">
        <v>1.58</v>
      </c>
    </row>
    <row r="9" spans="1:3" x14ac:dyDescent="0.3">
      <c r="A9" s="23" t="s">
        <v>2057</v>
      </c>
      <c r="B9" s="23" t="s">
        <v>2058</v>
      </c>
      <c r="C9" s="24">
        <v>3.32</v>
      </c>
    </row>
    <row r="10" spans="1:3" x14ac:dyDescent="0.3">
      <c r="A10" s="23" t="s">
        <v>2059</v>
      </c>
      <c r="B10" s="23" t="s">
        <v>2060</v>
      </c>
      <c r="C10" s="24">
        <v>2.09</v>
      </c>
    </row>
    <row r="11" spans="1:3" x14ac:dyDescent="0.3">
      <c r="A11" s="23" t="s">
        <v>2061</v>
      </c>
      <c r="B11" s="23" t="s">
        <v>2062</v>
      </c>
      <c r="C11" s="24">
        <v>1.78</v>
      </c>
    </row>
    <row r="12" spans="1:3" x14ac:dyDescent="0.3">
      <c r="A12" s="23" t="s">
        <v>2063</v>
      </c>
      <c r="B12" s="23" t="s">
        <v>2064</v>
      </c>
      <c r="C12" s="24">
        <v>1.78</v>
      </c>
    </row>
    <row r="13" spans="1:3" x14ac:dyDescent="0.3">
      <c r="A13" s="23" t="s">
        <v>2065</v>
      </c>
      <c r="B13" s="23" t="s">
        <v>2066</v>
      </c>
      <c r="C13" s="24">
        <v>1.27</v>
      </c>
    </row>
    <row r="14" spans="1:3" x14ac:dyDescent="0.3">
      <c r="A14" s="23" t="s">
        <v>2067</v>
      </c>
      <c r="B14" s="23" t="s">
        <v>2068</v>
      </c>
      <c r="C14" s="24">
        <v>12.35</v>
      </c>
    </row>
    <row r="15" spans="1:3" x14ac:dyDescent="0.3">
      <c r="A15" s="23" t="s">
        <v>2069</v>
      </c>
      <c r="B15" s="23" t="s">
        <v>2070</v>
      </c>
      <c r="C15" s="24">
        <v>12.35</v>
      </c>
    </row>
    <row r="16" spans="1:3" x14ac:dyDescent="0.3">
      <c r="A16" s="23" t="s">
        <v>2071</v>
      </c>
      <c r="B16" s="23" t="s">
        <v>2072</v>
      </c>
      <c r="C16" s="24">
        <v>5.73</v>
      </c>
    </row>
    <row r="17" spans="1:3" x14ac:dyDescent="0.3">
      <c r="A17" s="23" t="s">
        <v>2073</v>
      </c>
      <c r="B17" s="23" t="s">
        <v>2074</v>
      </c>
      <c r="C17" s="24">
        <v>3.61</v>
      </c>
    </row>
    <row r="18" spans="1:3" x14ac:dyDescent="0.3">
      <c r="A18" s="23" t="s">
        <v>2075</v>
      </c>
      <c r="B18" s="23" t="s">
        <v>2076</v>
      </c>
      <c r="C18" s="24">
        <v>5.73</v>
      </c>
    </row>
    <row r="19" spans="1:3" x14ac:dyDescent="0.3">
      <c r="A19" s="23" t="s">
        <v>2077</v>
      </c>
      <c r="B19" s="23" t="s">
        <v>2078</v>
      </c>
      <c r="C19" s="24">
        <v>5.73</v>
      </c>
    </row>
    <row r="20" spans="1:3" x14ac:dyDescent="0.3">
      <c r="A20" s="23" t="s">
        <v>2079</v>
      </c>
      <c r="B20" s="23" t="s">
        <v>2080</v>
      </c>
      <c r="C20" s="24">
        <v>3.48</v>
      </c>
    </row>
    <row r="21" spans="1:3" x14ac:dyDescent="0.3">
      <c r="A21" s="23" t="s">
        <v>2081</v>
      </c>
      <c r="B21" s="23" t="s">
        <v>2082</v>
      </c>
      <c r="C21" s="24">
        <v>4.88</v>
      </c>
    </row>
    <row r="22" spans="1:3" x14ac:dyDescent="0.3">
      <c r="A22" s="23" t="s">
        <v>2083</v>
      </c>
      <c r="B22" s="23" t="s">
        <v>2084</v>
      </c>
      <c r="C22" s="24">
        <v>1.42</v>
      </c>
    </row>
  </sheetData>
  <conditionalFormatting sqref="A2:A1048576">
    <cfRule type="duplicateValues" dxfId="1" priority="1"/>
  </conditionalFormatting>
  <conditionalFormatting sqref="A3:A22">
    <cfRule type="duplicateValues" dxfId="0" priority="1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Facture</vt:lpstr>
      <vt:lpstr>FactureD</vt:lpstr>
      <vt:lpstr>Historique des Factures</vt:lpstr>
      <vt:lpstr>Infos Clients</vt:lpstr>
      <vt:lpstr>Articles</vt:lpstr>
      <vt:lpstr>Plage</vt:lpstr>
      <vt:lpstr>PlageCode</vt:lpstr>
      <vt:lpstr>Plagee</vt:lpstr>
      <vt:lpstr>FactureD!Zone_d_impression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Harouna Harouna Bonkano</dc:creator>
  <cp:lastModifiedBy>Delphine RODRIGUEZ</cp:lastModifiedBy>
  <cp:lastPrinted>2024-07-28T13:45:03Z</cp:lastPrinted>
  <dcterms:created xsi:type="dcterms:W3CDTF">2024-04-30T13:03:34Z</dcterms:created>
  <dcterms:modified xsi:type="dcterms:W3CDTF">2024-08-06T08:39:05Z</dcterms:modified>
</cp:coreProperties>
</file>